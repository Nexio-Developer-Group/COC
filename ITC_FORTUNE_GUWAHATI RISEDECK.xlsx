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mc:AlternateContent xmlns:mc="http://schemas.openxmlformats.org/markup-compatibility/2006">
    <mc:Choice Requires="x15">
      <x15ac:absPath xmlns:x15ac="http://schemas.microsoft.com/office/spreadsheetml/2010/11/ac" url="C:\Schedule I.evo\Guwahati\06.10.26\Contractors\"/>
    </mc:Choice>
  </mc:AlternateContent>
  <xr:revisionPtr revIDLastSave="0" documentId="13_ncr:1_{9382B1A8-D4DC-41E4-B4BE-54914997CF52}" xr6:coauthVersionLast="47" xr6:coauthVersionMax="47" xr10:uidLastSave="{00000000-0000-0000-0000-000000000000}"/>
  <bookViews>
    <workbookView xWindow="-110" yWindow="-110" windowWidth="19420" windowHeight="10420" xr2:uid="{00000000-000D-0000-FFFF-FFFF00000000}"/>
  </bookViews>
  <sheets>
    <sheet name="Wet Works  (2)" sheetId="1" r:id="rId1"/>
  </sheets>
  <definedNames>
    <definedName name="_xlnm.Print_Area" localSheetId="0">'Wet Works  (2)'!$A$1:$G$39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4" i="1" l="1"/>
  <c r="G31" i="1"/>
  <c r="G30" i="1"/>
  <c r="G29" i="1"/>
  <c r="G24" i="1"/>
  <c r="G23" i="1"/>
  <c r="G22" i="1"/>
  <c r="G21" i="1"/>
  <c r="G20" i="1"/>
  <c r="G19" i="1"/>
  <c r="G18" i="1"/>
  <c r="G15" i="1"/>
  <c r="G13" i="1"/>
  <c r="G12" i="1"/>
  <c r="G11" i="1"/>
  <c r="G10" i="1"/>
  <c r="G9" i="1"/>
  <c r="G8" i="1"/>
  <c r="G7" i="1"/>
  <c r="G6" i="1"/>
  <c r="G5" i="1"/>
  <c r="G33" i="1" l="1"/>
</calcChain>
</file>

<file path=xl/sharedStrings.xml><?xml version="1.0" encoding="utf-8"?>
<sst xmlns="http://schemas.openxmlformats.org/spreadsheetml/2006/main" count="79" uniqueCount="55">
  <si>
    <t>Sr.No</t>
  </si>
  <si>
    <t>Final Intronote</t>
  </si>
  <si>
    <t xml:space="preserve">Description </t>
  </si>
  <si>
    <t>Unit</t>
  </si>
  <si>
    <t>Quantity</t>
  </si>
  <si>
    <t>Rate</t>
  </si>
  <si>
    <t>Amount</t>
  </si>
  <si>
    <t>Civil Works</t>
  </si>
  <si>
    <t>Room Flooring</t>
  </si>
  <si>
    <t>Providing and laying 8mm waste tiles over cement mortar, to make plain levelled base of SPC flooring. (Basic Rate of waste tiles - Rs.15/- per Sqft)</t>
  </si>
  <si>
    <t>SQMT</t>
  </si>
  <si>
    <t>SPC Flooring</t>
  </si>
  <si>
    <t>Receiving and fixing in position 6mm thick WTL-01 flooring (Spc Flooring) as per detail in drg. No. -.</t>
  </si>
  <si>
    <t>SPC Skirting</t>
  </si>
  <si>
    <t>Same as above 1b, but 100mm Skirting of WTL-01 (Spc Flooring) fixed by adhesive pasting, as per drg No. -.</t>
  </si>
  <si>
    <t>RMT</t>
  </si>
  <si>
    <t>Toilet Flooring</t>
  </si>
  <si>
    <t>Receiving and fixing in position 8 to 10mm thick TL-01 vitrified tile (600mm x 600mm) flooring with no grooves as per detail in drg. No. -. It shall be fixed with 20-40mm thickness of cement mortar of 1: 4 ( 1 Cement : 4 Coarse Sand). The job shall include cutting, mitering &amp; grouting with appd colour epoxy grout.</t>
  </si>
  <si>
    <t>Toilet Walls</t>
  </si>
  <si>
    <t>Same as above 2a, but TL-01 tile (600mm x 600mm) tile cladding on wall including making base and fixing with required thickness of laticrete adhesive. (refer drg no -)</t>
  </si>
  <si>
    <t>Flooring</t>
  </si>
  <si>
    <t>Same as above 2a, but TL-03 tile (600mm x 600mm) flooring as per detail in drg No. -.</t>
  </si>
  <si>
    <t>Same as above 2d, but 100mm high Skirting of TL-03 tile as per drg No. -. It shall be fixed with 20-40mm average thickness of cement mortar of 1: 4 ( 1 Cement : 4 Coarse Sand).</t>
  </si>
  <si>
    <t>Receiving and fixing in position 1880mm x 160mm x 17mm Diamond polished  ST-01 marble between room &amp; balcony flushed with WTL-01 flooring, treated with antistain sealer on all sides) threshold as per detail in drg No. -. The job shall also include cutting slot for fixing glass.</t>
  </si>
  <si>
    <t>Shower Ledge</t>
  </si>
  <si>
    <t xml:space="preserve">Providing &amp; fixing in position shower ledge of 1640mmx50mmx50mm diamond polished  ST-01 marble as per detail in drg no -
</t>
  </si>
  <si>
    <t>Wc Ledge</t>
  </si>
  <si>
    <t xml:space="preserve">Providing &amp; fixing in position ST-01 marble over wc ledge as per detail in drg no-.
</t>
  </si>
  <si>
    <t xml:space="preserve">Threshold </t>
  </si>
  <si>
    <t>Receiving and fixing in position Diamond polished  ST-01 marble threshold between vestibule &amp; toilet flushed with TL-01 flooring, treated with antistain sealer on all sides) threshold as per detail in drg No. -. The job shall also include cutting slot for fixing glass.</t>
  </si>
  <si>
    <t>Gypsum &amp; Pop Punning and Paint work</t>
  </si>
  <si>
    <t>Room GYPSUM Ceiling</t>
  </si>
  <si>
    <t>Providing and fixing in position gypsum false ceiling over G.I. metal frame work of appd. quality and wiremesh as per detail in drg No. -
and all related sections and elevations.</t>
  </si>
  <si>
    <t>TOILET GYPSUM Ceiling</t>
  </si>
  <si>
    <t>mr Board- false ceiling in bathroom</t>
  </si>
  <si>
    <t>TOILET GYPSUM Ceiling Vestibule</t>
  </si>
  <si>
    <t>This got changed into Gypsum Ceiling, so rate got decreased.</t>
  </si>
  <si>
    <t>37. Emulsion Paint - PT 01 over walls</t>
  </si>
  <si>
    <t>Providing and doing two coat of premium emulsion paint over walls (PT-01) as per appd. colour and shade ( for colour refer FFE). The job shall include doing primer coat and putty filling etc. complete. The job shall be done as per manufacturer’s specification. No extra shall be paid for dark or any special colour.</t>
  </si>
  <si>
    <t>38. Emulsion Paint - PT 01 over Ceiling</t>
  </si>
  <si>
    <t>Providing and doing two coat of premium emulsion paint over room ceiling and toilet ceiling (PT-01) as per appd. colour and shade ( for colour refer FFE). The job shall include doing primer coat and putty filling etc. complete. The job shall be done as per manufacturer’s specification. No extra shall be paid for dark or any special colour.</t>
  </si>
  <si>
    <t>41. POP Punning</t>
  </si>
  <si>
    <t>Providing and applying of punning up to 6-8mm thick layer of super fine Plaster of Paris (anhydrous gypsum) applied over selected existing plastered surface on walls and columns finished smooth, surface prepared by hacking, sand papering  and applying a coat of cement slurry if required including all incidentals, making grooves as directed, pattas, sills, etc. complete. The finished surface should be smooth and in perfect level so as to avoid unevenness and ready to take on paint.complete.Rate is inclusive of cost of materials, providing patterns as per design,groove, all necessary hardware,labour,scaffolding,all lead and lifts at all levels, loading and unloading, transportation and all other incidental charges etc. completed and as directed by the Engineer-in-charge.
Make of POP :- JK,Birla,Sriram,Sakarni,as per approved.</t>
  </si>
  <si>
    <t>42. Gypsum panelling</t>
  </si>
  <si>
    <t>Providing and laying 12mm Gypsum board panelling as per drg No. -. The job shall be done as per Gypsum India specification .</t>
  </si>
  <si>
    <t>Additional Items for Balcony</t>
  </si>
  <si>
    <t>Floor Tile</t>
  </si>
  <si>
    <t>Tile Flooring in Balcony Floor</t>
  </si>
  <si>
    <t>sqm</t>
  </si>
  <si>
    <t>Paint on wall</t>
  </si>
  <si>
    <t>Paint on Side walls</t>
  </si>
  <si>
    <t>Paint on Ceiling</t>
  </si>
  <si>
    <t>Grand Total</t>
  </si>
  <si>
    <t>Note :Service lift for material movement to be provided by client.
            In case of Manual material shifting 7% increment per floor. 
           GST 18%</t>
  </si>
  <si>
    <t>ITC FORTUNE GUWAHATI ( RISE DECK)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</si>
</sst>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quot;₹&quot;\ * #,##0.00_ ;_ &quot;₹&quot;\ * \-#,##0.00_ ;_ &quot;₹&quot;\ * &quot;-&quot;??_ ;_ @_ "/>
    <numFmt numFmtId="165" formatCode="_ [$₹-439]* #,##0.00_ ;_ [$₹-439]* \-#,##0.00_ ;_ [$₹-439]* &quot;-&quot;??_ ;_ @_ "/>
    <numFmt numFmtId="166" formatCode="\₹#,##0.00"/>
  </numFmts>
  <fonts count="13" x14ac:knownFonts="1">
    <font>
      <sz val="11"/>
      <color theme="1"/>
      <name val="Calibri"/>
      <family val="2"/>
      <scheme val="minor"/>
    </font>
    <font>
      <sz val="11"/>
      <color theme="1"/>
      <name val="Calibri"/>
      <family val="2"/>
      <scheme val="minor"/>
    </font>
    <font>
      <b/>
      <sz val="11"/>
      <color theme="1"/>
      <name val="Calibri"/>
      <family val="2"/>
      <scheme val="minor"/>
    </font>
    <font>
      <sz val="12"/>
      <name val="Calibri Light"/>
      <family val="2"/>
      <scheme val="major"/>
    </font>
    <font>
      <b/>
      <sz val="12"/>
      <name val="Calibri Light"/>
      <family val="2"/>
      <scheme val="major"/>
    </font>
    <font>
      <b/>
      <sz val="12"/>
      <name val="Calibri"/>
      <family val="2"/>
      <scheme val="minor"/>
    </font>
    <font>
      <sz val="12"/>
      <name val="Calibri"/>
      <family val="2"/>
      <scheme val="minor"/>
    </font>
    <font>
      <b/>
      <sz val="12"/>
      <color theme="1"/>
      <name val="Calibri"/>
      <family val="2"/>
      <scheme val="minor"/>
    </font>
    <font>
      <sz val="11"/>
      <name val="Calibri"/>
      <family val="2"/>
      <scheme val="minor"/>
    </font>
    <font>
      <b/>
      <sz val="18"/>
      <color theme="1"/>
      <name val="Calibri"/>
      <family val="2"/>
      <scheme val="minor"/>
    </font>
    <font>
      <b/>
      <sz val="14"/>
      <color theme="1"/>
      <name val="Calibri"/>
      <family val="2"/>
      <scheme val="minor"/>
    </font>
    <font>
      <sz val="12"/>
      <color theme="1"/>
      <name val="Calibri Light"/>
      <family val="2"/>
      <scheme val="major"/>
    </font>
    <font>
      <b/>
      <sz val="11"/>
      <color rgb="FFFFFFFF"/>
      <name val="Calibri"/>
      <family val="2"/>
    </font>
  </fonts>
  <fills count="7">
    <fill>
      <patternFill patternType="none"/>
    </fill>
    <fill>
      <patternFill patternType="gray125"/>
    </fill>
    <fill>
      <patternFill patternType="solid">
        <fgColor theme="7" tint="0.79998168889431442"/>
        <bgColor indexed="64"/>
      </patternFill>
    </fill>
    <fill>
      <patternFill patternType="solid">
        <fgColor theme="0"/>
        <bgColor indexed="64"/>
      </patternFill>
    </fill>
    <fill>
      <patternFill patternType="solid">
        <fgColor rgb="FFFFFFFF"/>
        <bgColor rgb="FFFFFFFF"/>
      </patternFill>
    </fill>
    <fill>
      <patternFill patternType="solid">
        <fgColor theme="5" tint="0.59999389629810485"/>
        <bgColor indexed="64"/>
      </patternFill>
    </fill>
    <fill>
      <patternFill patternType="solid">
        <fgColor rgb="FF1F4E78"/>
      </patternFill>
    </fill>
  </fills>
  <borders count="1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medium">
        <color indexed="64"/>
      </left>
      <right style="medium">
        <color indexed="64"/>
      </right>
      <top/>
      <bottom style="medium">
        <color indexed="64"/>
      </bottom>
      <diagonal/>
    </border>
    <border>
      <left/>
      <right style="medium">
        <color indexed="64"/>
      </right>
      <top/>
      <bottom/>
      <diagonal/>
    </border>
    <border>
      <left style="thin">
        <color indexed="64"/>
      </left>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1" fillId="0" borderId="0"/>
  </cellStyleXfs>
  <cellXfs count="80">
    <xf numFmtId="0" fontId="0" fillId="0" borderId="0" xfId="0"/>
    <xf numFmtId="0" fontId="3" fillId="3" borderId="1" xfId="1" applyFont="1" applyFill="1" applyBorder="1" applyAlignment="1">
      <alignment horizontal="left" vertical="top" wrapText="1"/>
    </xf>
    <xf numFmtId="0" fontId="4" fillId="3" borderId="1" xfId="1" applyFont="1" applyFill="1" applyBorder="1" applyAlignment="1">
      <alignment horizontal="center" vertical="center" wrapText="1"/>
    </xf>
    <xf numFmtId="0" fontId="5" fillId="3" borderId="1" xfId="1" applyFont="1" applyFill="1" applyBorder="1" applyAlignment="1">
      <alignment horizontal="center" vertical="center" wrapText="1"/>
    </xf>
    <xf numFmtId="0" fontId="6" fillId="3" borderId="1" xfId="1" applyFont="1" applyFill="1" applyBorder="1" applyAlignment="1">
      <alignment horizontal="left" vertical="top" wrapText="1"/>
    </xf>
    <xf numFmtId="0" fontId="6" fillId="0" borderId="1" xfId="1" applyFont="1" applyBorder="1" applyAlignment="1">
      <alignment horizontal="left" vertical="top" wrapText="1"/>
    </xf>
    <xf numFmtId="0" fontId="6" fillId="4" borderId="1" xfId="1" applyFont="1" applyFill="1" applyBorder="1" applyAlignment="1">
      <alignment horizontal="left" vertical="top" wrapText="1"/>
    </xf>
    <xf numFmtId="0" fontId="5" fillId="3" borderId="1" xfId="1" applyFont="1" applyFill="1" applyBorder="1" applyAlignment="1">
      <alignment horizontal="center" vertical="center"/>
    </xf>
    <xf numFmtId="0" fontId="3" fillId="0" borderId="1" xfId="1" applyFont="1" applyBorder="1" applyAlignment="1">
      <alignment vertical="top" wrapText="1"/>
    </xf>
    <xf numFmtId="0" fontId="6" fillId="0" borderId="1" xfId="1" applyFont="1" applyBorder="1" applyAlignment="1">
      <alignment horizontal="left" vertical="center" wrapText="1"/>
    </xf>
    <xf numFmtId="0" fontId="3" fillId="3" borderId="1" xfId="1" applyFont="1" applyFill="1" applyBorder="1" applyAlignment="1">
      <alignment horizontal="left" vertical="center" wrapText="1"/>
    </xf>
    <xf numFmtId="0" fontId="3" fillId="3" borderId="1" xfId="1" applyFont="1" applyFill="1" applyBorder="1" applyAlignment="1">
      <alignment vertical="top" wrapText="1"/>
    </xf>
    <xf numFmtId="0" fontId="4" fillId="5" borderId="1" xfId="1" applyFont="1" applyFill="1" applyBorder="1" applyAlignment="1">
      <alignment horizontal="center" vertical="center" wrapText="1"/>
    </xf>
    <xf numFmtId="0" fontId="6" fillId="3" borderId="1" xfId="1" applyFont="1" applyFill="1" applyBorder="1" applyAlignment="1">
      <alignment horizontal="left" vertical="center" wrapText="1"/>
    </xf>
    <xf numFmtId="0" fontId="8" fillId="0" borderId="1" xfId="1" applyFont="1"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2" fillId="2" borderId="5" xfId="0" applyFont="1" applyFill="1" applyBorder="1" applyAlignment="1">
      <alignment horizontal="center" vertical="center" wrapText="1"/>
    </xf>
    <xf numFmtId="164" fontId="2" fillId="0" borderId="5" xfId="0" applyNumberFormat="1" applyFont="1" applyBorder="1" applyAlignment="1">
      <alignment horizontal="center" vertical="center" wrapText="1"/>
    </xf>
    <xf numFmtId="0" fontId="0" fillId="0" borderId="0" xfId="0" applyAlignment="1">
      <alignment horizontal="center" vertical="center" wrapText="1"/>
    </xf>
    <xf numFmtId="0" fontId="0" fillId="0" borderId="6" xfId="0" applyBorder="1" applyAlignment="1">
      <alignment horizontal="center" vertical="center" wrapText="1"/>
    </xf>
    <xf numFmtId="0" fontId="0" fillId="0" borderId="2" xfId="0" applyBorder="1" applyAlignment="1">
      <alignment horizontal="center" vertical="center" wrapText="1"/>
    </xf>
    <xf numFmtId="0" fontId="0" fillId="0" borderId="7" xfId="0" applyBorder="1" applyAlignment="1">
      <alignment horizontal="center" vertical="center" wrapText="1"/>
    </xf>
    <xf numFmtId="0" fontId="2" fillId="2" borderId="8" xfId="0" applyFont="1" applyFill="1" applyBorder="1" applyAlignment="1">
      <alignment horizontal="center" vertical="center" wrapText="1"/>
    </xf>
    <xf numFmtId="164" fontId="2" fillId="0" borderId="8" xfId="0" applyNumberFormat="1" applyFont="1" applyBorder="1" applyAlignment="1">
      <alignment horizontal="center" vertical="center" wrapText="1"/>
    </xf>
    <xf numFmtId="0" fontId="2" fillId="2" borderId="0" xfId="0" applyFont="1" applyFill="1" applyAlignment="1">
      <alignment horizontal="center" vertical="center" wrapText="1"/>
    </xf>
    <xf numFmtId="164" fontId="2" fillId="0" borderId="0" xfId="0" applyNumberFormat="1" applyFont="1" applyAlignment="1">
      <alignment horizontal="center" vertical="center" wrapText="1"/>
    </xf>
    <xf numFmtId="0" fontId="0" fillId="0" borderId="1" xfId="0" applyBorder="1"/>
    <xf numFmtId="0" fontId="0" fillId="3" borderId="1" xfId="0" applyFill="1" applyBorder="1" applyAlignment="1">
      <alignment horizontal="center" vertical="center"/>
    </xf>
    <xf numFmtId="0" fontId="8" fillId="3" borderId="1" xfId="1" applyFont="1" applyFill="1" applyBorder="1" applyAlignment="1">
      <alignment horizontal="center" vertical="center" wrapText="1"/>
    </xf>
    <xf numFmtId="0" fontId="0" fillId="3" borderId="1" xfId="0" applyFill="1" applyBorder="1" applyAlignment="1">
      <alignment horizontal="center"/>
    </xf>
    <xf numFmtId="0" fontId="0" fillId="3" borderId="1" xfId="0" applyFill="1" applyBorder="1" applyAlignment="1">
      <alignment vertical="center" wrapText="1"/>
    </xf>
    <xf numFmtId="0" fontId="0" fillId="0" borderId="1" xfId="0" applyBorder="1" applyAlignment="1">
      <alignment horizontal="center" vertical="center"/>
    </xf>
    <xf numFmtId="0" fontId="1" fillId="3"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0" fillId="3" borderId="1" xfId="0" applyFill="1" applyBorder="1"/>
    <xf numFmtId="0" fontId="0" fillId="0" borderId="13" xfId="0" applyBorder="1"/>
    <xf numFmtId="0" fontId="2" fillId="0" borderId="9" xfId="0" applyFont="1" applyBorder="1" applyAlignment="1">
      <alignment horizontal="center" vertical="center"/>
    </xf>
    <xf numFmtId="0" fontId="2" fillId="5" borderId="1" xfId="0" applyFont="1" applyFill="1" applyBorder="1" applyAlignment="1">
      <alignment horizontal="center" vertical="center"/>
    </xf>
    <xf numFmtId="0" fontId="1" fillId="0" borderId="1" xfId="0" applyFont="1" applyBorder="1"/>
    <xf numFmtId="165" fontId="0" fillId="0" borderId="0" xfId="0" applyNumberFormat="1"/>
    <xf numFmtId="0" fontId="0" fillId="0" borderId="7" xfId="0" applyBorder="1"/>
    <xf numFmtId="0" fontId="0" fillId="0" borderId="2" xfId="0" applyBorder="1"/>
    <xf numFmtId="0" fontId="0" fillId="0" borderId="14" xfId="0" applyBorder="1"/>
    <xf numFmtId="0" fontId="0" fillId="0" borderId="14" xfId="0" applyBorder="1" applyAlignment="1">
      <alignment wrapText="1"/>
    </xf>
    <xf numFmtId="0" fontId="7" fillId="3" borderId="13" xfId="1" applyFont="1" applyFill="1" applyBorder="1" applyAlignment="1">
      <alignment horizontal="center" vertical="center" wrapText="1"/>
    </xf>
    <xf numFmtId="0" fontId="6" fillId="3" borderId="13" xfId="1" applyFont="1" applyFill="1" applyBorder="1" applyAlignment="1">
      <alignment horizontal="left" vertical="center" wrapText="1"/>
    </xf>
    <xf numFmtId="0" fontId="4" fillId="3" borderId="15" xfId="1" applyFont="1" applyFill="1" applyBorder="1" applyAlignment="1">
      <alignment horizontal="center" vertical="center" wrapText="1"/>
    </xf>
    <xf numFmtId="0" fontId="3" fillId="0" borderId="15" xfId="1" applyFont="1" applyBorder="1" applyAlignment="1">
      <alignment vertical="top" wrapText="1"/>
    </xf>
    <xf numFmtId="0" fontId="8" fillId="3" borderId="15" xfId="1" applyFont="1" applyFill="1" applyBorder="1" applyAlignment="1">
      <alignment horizontal="center" vertical="center" wrapText="1"/>
    </xf>
    <xf numFmtId="0" fontId="0" fillId="3" borderId="15" xfId="0" applyFill="1" applyBorder="1" applyAlignment="1">
      <alignment horizontal="center" vertical="center"/>
    </xf>
    <xf numFmtId="0" fontId="2" fillId="5" borderId="13" xfId="0" applyFont="1" applyFill="1" applyBorder="1" applyAlignment="1">
      <alignment horizontal="center" vertical="center"/>
    </xf>
    <xf numFmtId="0" fontId="1" fillId="3" borderId="13" xfId="0" applyFont="1" applyFill="1" applyBorder="1" applyAlignment="1">
      <alignment horizontal="center" vertical="center" wrapText="1"/>
    </xf>
    <xf numFmtId="0" fontId="8" fillId="3" borderId="13" xfId="1" applyFont="1" applyFill="1" applyBorder="1" applyAlignment="1">
      <alignment horizontal="center" vertical="center" wrapText="1"/>
    </xf>
    <xf numFmtId="0" fontId="2" fillId="3" borderId="13" xfId="0" applyFont="1" applyFill="1" applyBorder="1" applyAlignment="1">
      <alignment horizontal="center" vertical="center" wrapText="1"/>
    </xf>
    <xf numFmtId="0" fontId="0" fillId="0" borderId="15" xfId="0" applyBorder="1" applyAlignment="1">
      <alignment horizontal="center" vertical="center"/>
    </xf>
    <xf numFmtId="0" fontId="0" fillId="0" borderId="13" xfId="0" applyBorder="1" applyAlignment="1">
      <alignment horizontal="center" vertical="center"/>
    </xf>
    <xf numFmtId="0" fontId="11" fillId="3" borderId="1" xfId="1" applyFont="1" applyFill="1" applyBorder="1" applyAlignment="1">
      <alignment horizontal="left" vertical="top" wrapText="1"/>
    </xf>
    <xf numFmtId="0" fontId="10" fillId="5" borderId="1" xfId="0" applyFont="1" applyFill="1" applyBorder="1" applyAlignment="1">
      <alignment horizontal="center" vertical="center"/>
    </xf>
    <xf numFmtId="0" fontId="12" fillId="6" borderId="0" xfId="0" applyFont="1" applyFill="1"/>
    <xf numFmtId="0" fontId="0" fillId="0" borderId="0" xfId="0" applyAlignment="1">
      <alignment vertical="top" wrapText="1"/>
    </xf>
    <xf numFmtId="166" fontId="0" fillId="3" borderId="1" xfId="0" applyNumberFormat="1" applyFill="1" applyBorder="1" applyAlignment="1">
      <alignment horizontal="center" vertical="center"/>
    </xf>
    <xf numFmtId="0" fontId="2" fillId="0" borderId="10" xfId="0" applyFont="1" applyBorder="1" applyAlignment="1">
      <alignment horizontal="center" vertical="center"/>
    </xf>
    <xf numFmtId="0" fontId="0" fillId="0" borderId="4" xfId="0" applyBorder="1"/>
    <xf numFmtId="166" fontId="0" fillId="3" borderId="7" xfId="0" applyNumberFormat="1" applyFill="1" applyBorder="1" applyAlignment="1">
      <alignment horizontal="center" vertical="center"/>
    </xf>
    <xf numFmtId="165" fontId="0" fillId="0" borderId="7" xfId="0" applyNumberFormat="1" applyBorder="1"/>
    <xf numFmtId="0" fontId="0" fillId="3" borderId="7" xfId="0" applyFill="1" applyBorder="1" applyAlignment="1">
      <alignment horizontal="center" vertical="center"/>
    </xf>
    <xf numFmtId="0" fontId="0" fillId="3" borderId="16" xfId="0" applyFill="1" applyBorder="1" applyAlignment="1">
      <alignment horizontal="center" vertical="center"/>
    </xf>
    <xf numFmtId="0" fontId="0" fillId="3" borderId="7" xfId="0" applyFill="1" applyBorder="1"/>
    <xf numFmtId="166" fontId="10" fillId="5" borderId="7" xfId="0" applyNumberFormat="1" applyFont="1" applyFill="1" applyBorder="1" applyAlignment="1">
      <alignment horizontal="center" vertical="center"/>
    </xf>
    <xf numFmtId="0" fontId="9" fillId="5" borderId="10" xfId="0" applyFont="1" applyFill="1" applyBorder="1" applyAlignment="1">
      <alignment horizontal="center" vertical="center"/>
    </xf>
    <xf numFmtId="0" fontId="0" fillId="0" borderId="11" xfId="0" applyBorder="1"/>
    <xf numFmtId="0" fontId="10" fillId="5" borderId="1" xfId="0" applyFont="1" applyFill="1" applyBorder="1" applyAlignment="1">
      <alignment horizontal="center" vertical="center"/>
    </xf>
    <xf numFmtId="0" fontId="0" fillId="0" borderId="2" xfId="0" applyBorder="1"/>
    <xf numFmtId="0" fontId="7" fillId="0" borderId="1" xfId="0" applyFont="1" applyBorder="1" applyAlignment="1">
      <alignment horizontal="left" vertical="center"/>
    </xf>
    <xf numFmtId="0" fontId="7" fillId="0" borderId="9" xfId="0" applyFont="1" applyBorder="1" applyAlignment="1">
      <alignment horizontal="left" vertical="center"/>
    </xf>
    <xf numFmtId="0" fontId="0" fillId="0" borderId="12" xfId="0" applyBorder="1"/>
    <xf numFmtId="0" fontId="2" fillId="3" borderId="10" xfId="0" applyFont="1" applyFill="1" applyBorder="1" applyAlignment="1">
      <alignment horizontal="center" vertical="center"/>
    </xf>
    <xf numFmtId="0" fontId="0" fillId="0" borderId="0" xfId="0" applyAlignment="1">
      <alignment horizontal="left" vertical="center" wrapText="1"/>
    </xf>
    <xf numFmtId="0" fontId="0" fillId="0" borderId="0" xfId="0" applyAlignment="1">
      <alignment horizontal="left" vertical="center"/>
    </xf>
  </cellXfs>
  <cellStyles count="2">
    <cellStyle name="Normal" xfId="0" builtinId="0"/>
    <cellStyle name="Normal 2" xfId="1" xr:uid="{00000000-0005-0000-0000-000001000000}"/>
  </cellStyles>
  <dxfs count="1">
    <dxf>
      <fill>
        <patternFill>
          <bgColor theme="5"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36"/>
  <sheetViews>
    <sheetView tabSelected="1" view="pageBreakPreview" zoomScaleNormal="100" zoomScaleSheetLayoutView="100" workbookViewId="0">
      <selection activeCell="A2" sqref="A2"/>
    </sheetView>
  </sheetViews>
  <sheetFormatPr defaultRowHeight="14.5" x14ac:dyDescent="0.35"/>
  <cols>
    <col min="2" max="2" width="17.6328125" customWidth="1"/>
    <col min="3" max="3" width="52.54296875" customWidth="1"/>
    <col min="4" max="4" width="6.08984375" customWidth="1"/>
    <col min="6" max="6" width="9.90625" customWidth="1"/>
    <col min="7" max="7" width="21.08984375" customWidth="1"/>
    <col min="8" max="8" width="65" customWidth="1"/>
    <col min="9" max="9" width="14.36328125" bestFit="1" customWidth="1"/>
  </cols>
  <sheetData>
    <row r="1" spans="1:8" ht="33.9" customHeight="1" thickBot="1" x14ac:dyDescent="0.4">
      <c r="A1" s="70" t="s">
        <v>54</v>
      </c>
      <c r="B1" s="71"/>
      <c r="C1" s="71"/>
      <c r="D1" s="71"/>
      <c r="E1" s="71"/>
      <c r="F1" s="71"/>
      <c r="G1" s="71"/>
      <c r="H1" s="59"/>
    </row>
    <row r="2" spans="1:8" ht="30" customHeight="1" thickBot="1" x14ac:dyDescent="0.4">
      <c r="A2" s="37" t="s">
        <v>0</v>
      </c>
      <c r="B2" s="37" t="s">
        <v>1</v>
      </c>
      <c r="C2" s="37" t="s">
        <v>2</v>
      </c>
      <c r="D2" s="37" t="s">
        <v>3</v>
      </c>
      <c r="E2" s="37" t="s">
        <v>4</v>
      </c>
      <c r="F2" s="37" t="s">
        <v>5</v>
      </c>
      <c r="G2" s="62" t="s">
        <v>6</v>
      </c>
      <c r="H2" s="60"/>
    </row>
    <row r="3" spans="1:8" ht="30" customHeight="1" thickBot="1" x14ac:dyDescent="0.4">
      <c r="A3" s="36"/>
      <c r="B3" s="43"/>
      <c r="C3" s="44"/>
      <c r="D3" s="36"/>
      <c r="E3" s="36"/>
      <c r="F3" s="36"/>
      <c r="G3" s="63"/>
      <c r="H3" s="60"/>
    </row>
    <row r="4" spans="1:8" ht="30" customHeight="1" thickBot="1" x14ac:dyDescent="0.4">
      <c r="A4" s="41"/>
      <c r="B4" s="75" t="s">
        <v>7</v>
      </c>
      <c r="C4" s="76"/>
      <c r="D4" s="42"/>
      <c r="E4" s="27"/>
      <c r="F4" s="27"/>
      <c r="G4" s="41"/>
      <c r="H4" s="60"/>
    </row>
    <row r="5" spans="1:8" ht="46.5" x14ac:dyDescent="0.35">
      <c r="A5" s="28">
        <v>1</v>
      </c>
      <c r="B5" s="45" t="s">
        <v>8</v>
      </c>
      <c r="C5" s="46" t="s">
        <v>9</v>
      </c>
      <c r="D5" s="29" t="s">
        <v>10</v>
      </c>
      <c r="E5" s="28">
        <v>2127</v>
      </c>
      <c r="F5" s="61">
        <v>850</v>
      </c>
      <c r="G5" s="64">
        <f t="shared" ref="G5:G15" si="0">E5*F5</f>
        <v>1807950</v>
      </c>
      <c r="H5" s="60"/>
    </row>
    <row r="6" spans="1:8" ht="31" x14ac:dyDescent="0.35">
      <c r="A6" s="30">
        <v>2</v>
      </c>
      <c r="B6" s="3" t="s">
        <v>11</v>
      </c>
      <c r="C6" s="57" t="s">
        <v>12</v>
      </c>
      <c r="D6" s="29" t="s">
        <v>10</v>
      </c>
      <c r="E6" s="28">
        <v>2127</v>
      </c>
      <c r="F6" s="61">
        <v>0</v>
      </c>
      <c r="G6" s="64">
        <f t="shared" si="0"/>
        <v>0</v>
      </c>
    </row>
    <row r="7" spans="1:8" ht="45" customHeight="1" x14ac:dyDescent="0.35">
      <c r="A7" s="30">
        <v>3</v>
      </c>
      <c r="B7" s="3" t="s">
        <v>13</v>
      </c>
      <c r="C7" s="31" t="s">
        <v>14</v>
      </c>
      <c r="D7" s="14" t="s">
        <v>15</v>
      </c>
      <c r="E7" s="28">
        <v>1654</v>
      </c>
      <c r="F7" s="61">
        <v>0</v>
      </c>
      <c r="G7" s="64">
        <f t="shared" si="0"/>
        <v>0</v>
      </c>
      <c r="H7" s="60"/>
    </row>
    <row r="8" spans="1:8" ht="93" customHeight="1" x14ac:dyDescent="0.35">
      <c r="A8" s="28">
        <v>4</v>
      </c>
      <c r="B8" s="3" t="s">
        <v>16</v>
      </c>
      <c r="C8" s="4" t="s">
        <v>17</v>
      </c>
      <c r="D8" s="29" t="s">
        <v>10</v>
      </c>
      <c r="E8" s="28">
        <v>1154</v>
      </c>
      <c r="F8" s="61">
        <v>920</v>
      </c>
      <c r="G8" s="64">
        <f t="shared" si="0"/>
        <v>1061680</v>
      </c>
    </row>
    <row r="9" spans="1:8" ht="83.4" customHeight="1" x14ac:dyDescent="0.35">
      <c r="A9" s="32">
        <v>5</v>
      </c>
      <c r="B9" s="3" t="s">
        <v>18</v>
      </c>
      <c r="C9" s="13" t="s">
        <v>19</v>
      </c>
      <c r="D9" s="29" t="s">
        <v>10</v>
      </c>
      <c r="E9" s="28">
        <v>2412</v>
      </c>
      <c r="F9" s="61">
        <v>1020</v>
      </c>
      <c r="G9" s="64">
        <f t="shared" si="0"/>
        <v>2460240</v>
      </c>
    </row>
    <row r="10" spans="1:8" ht="30.9" customHeight="1" x14ac:dyDescent="0.35">
      <c r="A10" s="32">
        <v>6</v>
      </c>
      <c r="B10" s="3" t="s">
        <v>20</v>
      </c>
      <c r="C10" s="4" t="s">
        <v>21</v>
      </c>
      <c r="D10" s="29" t="s">
        <v>10</v>
      </c>
      <c r="E10" s="28">
        <v>1049</v>
      </c>
      <c r="F10" s="61">
        <v>920</v>
      </c>
      <c r="G10" s="64">
        <f t="shared" si="0"/>
        <v>965080</v>
      </c>
    </row>
    <row r="11" spans="1:8" ht="62.15" customHeight="1" x14ac:dyDescent="0.35">
      <c r="A11" s="32">
        <v>7</v>
      </c>
      <c r="B11" s="3" t="s">
        <v>18</v>
      </c>
      <c r="C11" s="5" t="s">
        <v>22</v>
      </c>
      <c r="D11" s="29" t="s">
        <v>15</v>
      </c>
      <c r="E11" s="28">
        <v>839</v>
      </c>
      <c r="F11" s="61">
        <v>450</v>
      </c>
      <c r="G11" s="64">
        <f t="shared" si="0"/>
        <v>377550</v>
      </c>
    </row>
    <row r="12" spans="1:8" ht="97.5" customHeight="1" x14ac:dyDescent="0.35">
      <c r="A12" s="32">
        <v>8</v>
      </c>
      <c r="B12" s="3" t="s">
        <v>8</v>
      </c>
      <c r="C12" s="6" t="s">
        <v>23</v>
      </c>
      <c r="D12" s="29" t="s">
        <v>10</v>
      </c>
      <c r="E12" s="28">
        <v>237</v>
      </c>
      <c r="F12" s="61">
        <v>1250</v>
      </c>
      <c r="G12" s="64">
        <f t="shared" si="0"/>
        <v>296250</v>
      </c>
    </row>
    <row r="13" spans="1:8" ht="77.400000000000006" customHeight="1" x14ac:dyDescent="0.35">
      <c r="A13" s="32">
        <v>9</v>
      </c>
      <c r="B13" s="7" t="s">
        <v>24</v>
      </c>
      <c r="C13" s="9" t="s">
        <v>25</v>
      </c>
      <c r="D13" s="29" t="s">
        <v>15</v>
      </c>
      <c r="E13" s="28">
        <v>189</v>
      </c>
      <c r="F13" s="61">
        <v>550</v>
      </c>
      <c r="G13" s="64">
        <f t="shared" si="0"/>
        <v>103950</v>
      </c>
    </row>
    <row r="14" spans="1:8" ht="62.15" customHeight="1" x14ac:dyDescent="0.35">
      <c r="A14" s="32">
        <v>10</v>
      </c>
      <c r="B14" s="7" t="s">
        <v>26</v>
      </c>
      <c r="C14" s="5" t="s">
        <v>27</v>
      </c>
      <c r="D14" s="29" t="s">
        <v>15</v>
      </c>
      <c r="E14" s="28">
        <v>105</v>
      </c>
      <c r="F14" s="61">
        <v>550</v>
      </c>
      <c r="G14" s="64">
        <f t="shared" si="0"/>
        <v>57750</v>
      </c>
    </row>
    <row r="15" spans="1:8" ht="77.400000000000006" customHeight="1" x14ac:dyDescent="0.35">
      <c r="A15" s="32">
        <v>11</v>
      </c>
      <c r="B15" s="3" t="s">
        <v>28</v>
      </c>
      <c r="C15" s="6" t="s">
        <v>29</v>
      </c>
      <c r="D15" s="29" t="s">
        <v>15</v>
      </c>
      <c r="E15" s="28">
        <v>95</v>
      </c>
      <c r="F15" s="61">
        <v>750</v>
      </c>
      <c r="G15" s="64">
        <f t="shared" si="0"/>
        <v>71250</v>
      </c>
    </row>
    <row r="16" spans="1:8" x14ac:dyDescent="0.35">
      <c r="A16" s="27"/>
      <c r="B16" s="27"/>
      <c r="C16" s="27"/>
      <c r="D16" s="39"/>
      <c r="E16" s="27"/>
      <c r="F16" s="27"/>
      <c r="G16" s="65"/>
    </row>
    <row r="17" spans="1:44" ht="30.9" customHeight="1" x14ac:dyDescent="0.35">
      <c r="A17" s="27"/>
      <c r="B17" s="74" t="s">
        <v>30</v>
      </c>
      <c r="C17" s="73"/>
      <c r="D17" s="39"/>
      <c r="E17" s="27"/>
      <c r="F17" s="27"/>
      <c r="G17" s="65"/>
    </row>
    <row r="18" spans="1:44" ht="62.15" customHeight="1" x14ac:dyDescent="0.35">
      <c r="A18" s="32">
        <v>1</v>
      </c>
      <c r="B18" s="2" t="s">
        <v>31</v>
      </c>
      <c r="C18" s="1" t="s">
        <v>32</v>
      </c>
      <c r="D18" s="29" t="s">
        <v>10</v>
      </c>
      <c r="E18" s="28">
        <v>2363</v>
      </c>
      <c r="F18" s="61">
        <v>1150</v>
      </c>
      <c r="G18" s="64">
        <f t="shared" ref="G18:G24" si="1">E18*F18</f>
        <v>2717450</v>
      </c>
    </row>
    <row r="19" spans="1:44" ht="30.9" customHeight="1" x14ac:dyDescent="0.35">
      <c r="A19" s="32">
        <v>2</v>
      </c>
      <c r="B19" s="2" t="s">
        <v>33</v>
      </c>
      <c r="C19" s="1" t="s">
        <v>34</v>
      </c>
      <c r="D19" s="29" t="s">
        <v>10</v>
      </c>
      <c r="E19" s="28">
        <v>586</v>
      </c>
      <c r="F19" s="61">
        <v>1550</v>
      </c>
      <c r="G19" s="64">
        <f t="shared" si="1"/>
        <v>908300</v>
      </c>
    </row>
    <row r="20" spans="1:44" ht="30.9" customHeight="1" x14ac:dyDescent="0.35">
      <c r="A20" s="32">
        <v>3</v>
      </c>
      <c r="B20" s="2" t="s">
        <v>35</v>
      </c>
      <c r="C20" s="10" t="s">
        <v>36</v>
      </c>
      <c r="D20" s="29" t="s">
        <v>10</v>
      </c>
      <c r="E20" s="28">
        <v>449</v>
      </c>
      <c r="F20" s="61">
        <v>1050</v>
      </c>
      <c r="G20" s="64">
        <f t="shared" si="1"/>
        <v>471450</v>
      </c>
    </row>
    <row r="21" spans="1:44" ht="93" customHeight="1" x14ac:dyDescent="0.35">
      <c r="A21" s="32">
        <v>4</v>
      </c>
      <c r="B21" s="2" t="s">
        <v>37</v>
      </c>
      <c r="C21" s="11" t="s">
        <v>38</v>
      </c>
      <c r="D21" s="29" t="s">
        <v>10</v>
      </c>
      <c r="E21" s="28">
        <v>2835</v>
      </c>
      <c r="F21" s="61">
        <v>450</v>
      </c>
      <c r="G21" s="64">
        <f t="shared" si="1"/>
        <v>1275750</v>
      </c>
    </row>
    <row r="22" spans="1:44" ht="93" customHeight="1" x14ac:dyDescent="0.35">
      <c r="A22" s="32">
        <v>5</v>
      </c>
      <c r="B22" s="2" t="s">
        <v>39</v>
      </c>
      <c r="C22" s="11" t="s">
        <v>40</v>
      </c>
      <c r="D22" s="29" t="s">
        <v>10</v>
      </c>
      <c r="E22" s="28">
        <v>3308</v>
      </c>
      <c r="F22" s="61">
        <v>475</v>
      </c>
      <c r="G22" s="64">
        <f t="shared" si="1"/>
        <v>1571300</v>
      </c>
    </row>
    <row r="23" spans="1:44" ht="248.15" customHeight="1" x14ac:dyDescent="0.35">
      <c r="A23" s="32">
        <v>6</v>
      </c>
      <c r="B23" s="12" t="s">
        <v>41</v>
      </c>
      <c r="C23" s="8" t="s">
        <v>42</v>
      </c>
      <c r="D23" s="29" t="s">
        <v>10</v>
      </c>
      <c r="E23" s="28">
        <v>5906</v>
      </c>
      <c r="F23" s="61">
        <v>550</v>
      </c>
      <c r="G23" s="64">
        <f t="shared" si="1"/>
        <v>3248300</v>
      </c>
    </row>
    <row r="24" spans="1:44" ht="46.5" customHeight="1" x14ac:dyDescent="0.35">
      <c r="A24" s="32">
        <v>7</v>
      </c>
      <c r="B24" s="12" t="s">
        <v>43</v>
      </c>
      <c r="C24" s="8" t="s">
        <v>44</v>
      </c>
      <c r="D24" s="29" t="s">
        <v>10</v>
      </c>
      <c r="E24" s="28">
        <v>473</v>
      </c>
      <c r="F24" s="61">
        <v>1450</v>
      </c>
      <c r="G24" s="64">
        <f t="shared" si="1"/>
        <v>685850</v>
      </c>
    </row>
    <row r="25" spans="1:44" ht="15.65" customHeight="1" x14ac:dyDescent="0.35">
      <c r="A25" s="32"/>
      <c r="B25" s="2"/>
      <c r="C25" s="8"/>
      <c r="D25" s="29"/>
      <c r="E25" s="28"/>
      <c r="F25" s="28"/>
      <c r="G25" s="66"/>
    </row>
    <row r="26" spans="1:44" ht="15.65" customHeight="1" x14ac:dyDescent="0.35">
      <c r="A26" s="32"/>
      <c r="B26" s="2"/>
      <c r="C26" s="8"/>
      <c r="D26" s="29"/>
      <c r="E26" s="28"/>
      <c r="F26" s="28"/>
      <c r="G26" s="66"/>
    </row>
    <row r="27" spans="1:44" ht="15.9" customHeight="1" thickBot="1" x14ac:dyDescent="0.4">
      <c r="A27" s="55"/>
      <c r="B27" s="47"/>
      <c r="C27" s="48"/>
      <c r="D27" s="49"/>
      <c r="E27" s="50"/>
      <c r="F27" s="50"/>
      <c r="G27" s="67"/>
    </row>
    <row r="28" spans="1:44" ht="30.9" customHeight="1" thickBot="1" x14ac:dyDescent="0.4">
      <c r="A28" s="77" t="s">
        <v>45</v>
      </c>
      <c r="B28" s="71"/>
      <c r="C28" s="71"/>
      <c r="D28" s="71"/>
      <c r="E28" s="71"/>
      <c r="F28" s="71"/>
      <c r="G28" s="71"/>
    </row>
    <row r="29" spans="1:44" ht="29.15" customHeight="1" x14ac:dyDescent="0.35">
      <c r="A29" s="56">
        <v>1</v>
      </c>
      <c r="B29" s="51" t="s">
        <v>46</v>
      </c>
      <c r="C29" s="52" t="s">
        <v>47</v>
      </c>
      <c r="D29" s="53" t="s">
        <v>10</v>
      </c>
      <c r="E29" s="54">
        <v>340</v>
      </c>
      <c r="F29" s="61">
        <v>1050</v>
      </c>
      <c r="G29" s="64">
        <f>E29*F29</f>
        <v>357000</v>
      </c>
      <c r="H29" s="19"/>
      <c r="I29" s="19"/>
      <c r="J29" s="19"/>
      <c r="K29" s="19"/>
      <c r="L29" s="19"/>
      <c r="M29" s="19"/>
      <c r="N29" s="19"/>
      <c r="O29" s="19"/>
      <c r="P29" s="19"/>
      <c r="Q29" s="19"/>
      <c r="R29" s="19"/>
      <c r="S29" s="19"/>
      <c r="T29" s="19"/>
      <c r="U29" s="19"/>
      <c r="V29" s="19"/>
      <c r="W29" s="19"/>
      <c r="X29" s="19"/>
      <c r="Y29" s="19"/>
      <c r="Z29" s="19"/>
      <c r="AA29" s="19"/>
      <c r="AB29" s="19"/>
      <c r="AC29" s="19"/>
      <c r="AD29" s="19"/>
      <c r="AE29" s="19"/>
      <c r="AF29" s="19"/>
      <c r="AG29" s="19"/>
      <c r="AH29" s="19"/>
      <c r="AI29" s="19"/>
      <c r="AJ29" s="19"/>
      <c r="AK29" s="19"/>
      <c r="AL29" s="19"/>
      <c r="AM29" s="19"/>
      <c r="AN29" s="19"/>
      <c r="AO29" s="19"/>
      <c r="AP29" s="19"/>
      <c r="AQ29" s="25">
        <v>340</v>
      </c>
      <c r="AR29" s="26" t="s">
        <v>48</v>
      </c>
    </row>
    <row r="30" spans="1:44" ht="29.15" customHeight="1" thickBot="1" x14ac:dyDescent="0.4">
      <c r="A30" s="32">
        <v>2</v>
      </c>
      <c r="B30" s="38" t="s">
        <v>49</v>
      </c>
      <c r="C30" s="33" t="s">
        <v>50</v>
      </c>
      <c r="D30" s="29" t="s">
        <v>10</v>
      </c>
      <c r="E30" s="34">
        <v>500</v>
      </c>
      <c r="F30" s="61">
        <v>450</v>
      </c>
      <c r="G30" s="64">
        <f>E30*F30</f>
        <v>225000</v>
      </c>
      <c r="H30" s="19"/>
      <c r="I30" s="19"/>
      <c r="J30" s="19"/>
      <c r="K30" s="19"/>
      <c r="L30" s="19"/>
      <c r="M30" s="19"/>
      <c r="N30" s="19"/>
      <c r="O30" s="19"/>
      <c r="P30" s="19"/>
      <c r="Q30" s="19"/>
      <c r="R30" s="19"/>
      <c r="S30" s="19"/>
      <c r="T30" s="19"/>
      <c r="U30" s="19"/>
      <c r="V30" s="19"/>
      <c r="W30" s="19"/>
      <c r="X30" s="19"/>
      <c r="Y30" s="19"/>
      <c r="Z30" s="19"/>
      <c r="AA30" s="19"/>
      <c r="AB30" s="19"/>
      <c r="AC30" s="19"/>
      <c r="AD30" s="19"/>
      <c r="AE30" s="19"/>
      <c r="AF30" s="19"/>
      <c r="AG30" s="19"/>
      <c r="AH30" s="19"/>
      <c r="AI30" s="19"/>
      <c r="AJ30" s="19"/>
      <c r="AK30" s="19"/>
      <c r="AL30" s="19"/>
      <c r="AM30" s="19"/>
      <c r="AN30" s="20"/>
      <c r="AO30" s="15"/>
      <c r="AP30" s="16"/>
      <c r="AQ30" s="17">
        <v>500</v>
      </c>
      <c r="AR30" s="18" t="s">
        <v>48</v>
      </c>
    </row>
    <row r="31" spans="1:44" ht="29.15" customHeight="1" thickBot="1" x14ac:dyDescent="0.4">
      <c r="A31" s="32">
        <v>3</v>
      </c>
      <c r="B31" s="38" t="s">
        <v>51</v>
      </c>
      <c r="C31" s="33" t="s">
        <v>51</v>
      </c>
      <c r="D31" s="29" t="s">
        <v>10</v>
      </c>
      <c r="E31" s="34">
        <v>340</v>
      </c>
      <c r="F31" s="61">
        <v>450</v>
      </c>
      <c r="G31" s="64">
        <f>E31*F31</f>
        <v>153000</v>
      </c>
      <c r="H31" s="19"/>
      <c r="I31" s="19"/>
      <c r="J31" s="19"/>
      <c r="K31" s="19"/>
      <c r="L31" s="19"/>
      <c r="M31" s="19"/>
      <c r="N31" s="19"/>
      <c r="O31" s="19"/>
      <c r="P31" s="19"/>
      <c r="Q31" s="19"/>
      <c r="R31" s="19"/>
      <c r="S31" s="19"/>
      <c r="T31" s="19"/>
      <c r="U31" s="19"/>
      <c r="V31" s="19"/>
      <c r="W31" s="19"/>
      <c r="X31" s="19"/>
      <c r="Y31" s="19"/>
      <c r="Z31" s="19"/>
      <c r="AA31" s="19"/>
      <c r="AB31" s="19"/>
      <c r="AC31" s="19"/>
      <c r="AD31" s="19"/>
      <c r="AE31" s="19"/>
      <c r="AF31" s="19"/>
      <c r="AG31" s="19"/>
      <c r="AH31" s="19"/>
      <c r="AI31" s="19"/>
      <c r="AJ31" s="19"/>
      <c r="AK31" s="19"/>
      <c r="AL31" s="19"/>
      <c r="AM31" s="19"/>
      <c r="AN31" s="20"/>
      <c r="AO31" s="21"/>
      <c r="AP31" s="22"/>
      <c r="AQ31" s="23">
        <v>340</v>
      </c>
      <c r="AR31" s="24" t="s">
        <v>48</v>
      </c>
    </row>
    <row r="32" spans="1:44" ht="22.5" customHeight="1" x14ac:dyDescent="0.35">
      <c r="A32" s="27"/>
      <c r="B32" s="35"/>
      <c r="C32" s="35"/>
      <c r="D32" s="35"/>
      <c r="E32" s="35"/>
      <c r="F32" s="35"/>
      <c r="G32" s="68"/>
      <c r="I32" s="40"/>
    </row>
    <row r="33" spans="1:7" ht="32.15" customHeight="1" x14ac:dyDescent="0.35">
      <c r="D33" s="72" t="s">
        <v>52</v>
      </c>
      <c r="E33" s="73"/>
      <c r="F33" s="58"/>
      <c r="G33" s="69">
        <f>SUM(G5:G31)</f>
        <v>18815100</v>
      </c>
    </row>
    <row r="36" spans="1:7" ht="52.25" customHeight="1" x14ac:dyDescent="0.35">
      <c r="A36" s="78" t="s">
        <v>53</v>
      </c>
      <c r="B36" s="79"/>
      <c r="C36" s="79"/>
      <c r="D36" s="79"/>
      <c r="E36" s="79"/>
      <c r="F36" s="79"/>
      <c r="G36" s="79"/>
    </row>
  </sheetData>
  <mergeCells count="6">
    <mergeCell ref="A36:G36"/>
    <mergeCell ref="A1:G1"/>
    <mergeCell ref="D33:E33"/>
    <mergeCell ref="B17:C17"/>
    <mergeCell ref="B4:C4"/>
    <mergeCell ref="A28:G28"/>
  </mergeCells>
  <conditionalFormatting sqref="B5:B15 B18:B22">
    <cfRule type="notContainsBlanks" dxfId="0" priority="3">
      <formula>LEN(TRIM(B5))&gt;0</formula>
    </cfRule>
  </conditionalFormatting>
  <pageMargins left="0.7" right="0.7" top="0.75" bottom="0.75" header="0.3" footer="0.3"/>
  <pageSetup scale="58" orientation="portrait" r:id="rId1"/>
  <rowBreaks count="1" manualBreakCount="1">
    <brk id="16" max="6"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Wet Works  (2)</vt:lpstr>
      <vt:lpstr>'Wet Works  (2)'!Print_Area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MOHAMMED ALI</dc:creator>
  <cp:lastModifiedBy>MOHAMMED ALI</cp:lastModifiedBy>
  <cp:lastPrinted>2026-09-01T07:01:15Z</cp:lastPrinted>
  <dcterms:created xsi:type="dcterms:W3CDTF">2015-06-05T18:17:20Z</dcterms:created>
  <dcterms:modified xsi:type="dcterms:W3CDTF">2026-10-13T12:40:14Z</dcterms:modified>
</cp:coreProperties>
</file>