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OHAMMED ALI\Downloads\"/>
    </mc:Choice>
  </mc:AlternateContent>
  <xr:revisionPtr revIDLastSave="0" documentId="8_{08E86CBE-BB73-4B48-A861-08C41E40CD03}" xr6:coauthVersionLast="47" xr6:coauthVersionMax="47" xr10:uidLastSave="{00000000-0000-0000-0000-000000000000}"/>
  <bookViews>
    <workbookView xWindow="-110" yWindow="-110" windowWidth="19420" windowHeight="10420" xr2:uid="{00000000-000D-0000-FFFF-FFFF00000000}"/>
  </bookViews>
  <sheets>
    <sheet name="Wet Works  (2)" sheetId="2" r:id="rId1"/>
  </sheets>
  <definedNames>
    <definedName name="_xlnm.Print_Area" localSheetId="0">'Wet Works  (2)'!$A$1:$G$48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2" l="1"/>
  <c r="G30" i="2"/>
  <c r="G29" i="2"/>
  <c r="G6" i="2"/>
  <c r="G7" i="2"/>
  <c r="G8" i="2"/>
  <c r="G9" i="2"/>
  <c r="G10" i="2"/>
  <c r="G11" i="2"/>
  <c r="G12" i="2"/>
  <c r="G13" i="2"/>
  <c r="G14" i="2"/>
  <c r="G15" i="2"/>
  <c r="G16" i="2"/>
  <c r="G17" i="2"/>
  <c r="G18" i="2"/>
  <c r="G19" i="2"/>
  <c r="G20" i="2"/>
  <c r="G21" i="2"/>
  <c r="G22" i="2"/>
  <c r="G23" i="2"/>
  <c r="G24" i="2"/>
  <c r="G5" i="2"/>
  <c r="G33" i="2" l="1"/>
</calcChain>
</file>

<file path=xl/sharedStrings.xml><?xml version="1.0" encoding="utf-8"?>
<sst xmlns="http://schemas.openxmlformats.org/spreadsheetml/2006/main" count="91" uniqueCount="67">
  <si>
    <t>Sr.No</t>
  </si>
  <si>
    <t xml:space="preserve">Description </t>
  </si>
  <si>
    <t>Unit</t>
  </si>
  <si>
    <t>Rate</t>
  </si>
  <si>
    <t>Amount</t>
  </si>
  <si>
    <t>Providing and laying 8mm waste tiles over cement mortar, to make plain levelled base of SPC flooring. (Basic Rate of waste tiles - Rs.15/- per Sqft)</t>
  </si>
  <si>
    <t>sqm</t>
  </si>
  <si>
    <t>Receiving and fixing in position 6mm thick WTL-01 flooring (Spc Flooring) as per detail in drg. No. -.</t>
  </si>
  <si>
    <t>Same as above 1b, but 100mm Skirting of WTL-01 (Spc Flooring) fixed by adhesive pasting, as per drg No. -.</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</si>
  <si>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</si>
  <si>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Room Flooring</t>
  </si>
  <si>
    <t>Toilet Flooring</t>
  </si>
  <si>
    <t>Toilet Walls</t>
  </si>
  <si>
    <t>SPC Flooring</t>
  </si>
  <si>
    <t>SPC Skirting</t>
  </si>
  <si>
    <t>Same as above 2a, but TL-01 tile (600mm x 600mm) tile cladding on wall including making base and fixing with required thickness of laticrete adhesive. (refer drg no -)</t>
  </si>
  <si>
    <t>Same as above 2a, but TL-03 tile (600mm x 600mm) flooring as per detail in drg No. -.</t>
  </si>
  <si>
    <t>Flooring</t>
  </si>
  <si>
    <t>Final Intronote</t>
  </si>
  <si>
    <t>Same as above 2d, but 100mm high Skirting of TL-03 tile as per drg No. -. It shall be fixed with 20-40mm average thickness of cement mortar of 1: 4 ( 1 Cement : 4 Coarse Sand).</t>
  </si>
  <si>
    <t>Civil Works</t>
  </si>
  <si>
    <t>Providing and fixing in position gypsum false ceiling over G.I. metal frame work of appd. quality and wiremesh as per detail in drg No. -
and all related sections and elevations.</t>
  </si>
  <si>
    <t>mr Board- false ceiling in bathroom</t>
  </si>
  <si>
    <t>Room GYPSUM Ceiling</t>
  </si>
  <si>
    <t>TOILET GYPSUM Ceiling</t>
  </si>
  <si>
    <t>This got changed into Gypsum Ceiling, so rate got decreased.</t>
  </si>
  <si>
    <t>TOILET GYPSUM Ceiling Vestibule</t>
  </si>
  <si>
    <t>37. Emulsion Paint - PT 01 over walls</t>
  </si>
  <si>
    <r>
      <t xml:space="preserve">Providing and doing two coat of premium emulsion paint </t>
    </r>
    <r>
      <rPr>
        <b/>
        <sz val="12"/>
        <color rgb="FFFF0000"/>
        <rFont val="Calibri Light"/>
        <family val="2"/>
        <scheme val="major"/>
      </rPr>
      <t>over walls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</si>
  <si>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</si>
  <si>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family val="2"/>
        <scheme val="major"/>
      </rPr>
      <t>over room ceiling and toilet ceiling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</si>
  <si>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RMT</t>
  </si>
  <si>
    <t>SQMT</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</si>
  <si>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</si>
  <si>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Providing and laying 12mm Gypsum board panelling as per drg No. -. The job shall be done as per Gypsum India specification .</t>
  </si>
  <si>
    <t>41. POP Punning</t>
  </si>
  <si>
    <t>42. Gypsum panelling</t>
  </si>
  <si>
    <t>Shower Ledge</t>
  </si>
  <si>
    <t>Wc Ledge</t>
  </si>
  <si>
    <t xml:space="preserve">Threshold </t>
  </si>
  <si>
    <t>Quantity</t>
  </si>
  <si>
    <t>Gypsum &amp; Pop Punning and Paint work</t>
  </si>
  <si>
    <t>Additional Items for Balcony</t>
  </si>
  <si>
    <t>Tile Flooring in Balcony Floor</t>
  </si>
  <si>
    <t>Paint on Side walls</t>
  </si>
  <si>
    <t>Paint on Ceiling</t>
  </si>
  <si>
    <t>Floor Tile</t>
  </si>
  <si>
    <t>Paint on wall</t>
  </si>
  <si>
    <t xml:space="preserve">ITC FORTUNE GUWAHATI </t>
  </si>
  <si>
    <t>Grand Total</t>
  </si>
  <si>
    <t>Quoted rates are inclusive of labour , bed materials, tools and equipments.</t>
  </si>
  <si>
    <t xml:space="preserve">Notes: </t>
  </si>
  <si>
    <t>Measurements shall be taken at site and the final billing shall be based on actual executed quantities.</t>
  </si>
  <si>
    <t>Any additional  work or work outside the quoted scope shall be treated as extra work and shall be executed only after approval.</t>
  </si>
  <si>
    <t xml:space="preserve">any changes in design, material specification or scope after approval may result in additional cost and time. </t>
  </si>
  <si>
    <t>The client shall provide necessary site access, working space, electricity and water required for execution.</t>
  </si>
  <si>
    <t xml:space="preserve"> Work will be carried out as per the approved drawings, specifications and site instructions.</t>
  </si>
  <si>
    <t xml:space="preserve"> The quoted price does not include GST/taxes, unless specifically mentioned in the quotation.</t>
  </si>
  <si>
    <t>The work completion timeline shall depend on site readiness, material availability and timely approvals.</t>
  </si>
  <si>
    <t xml:space="preserve"> Any damage caused by other agencies after completion of the work shall not be the responsibility of the contractor.</t>
  </si>
  <si>
    <t>This quotation is valid for 30 days from the date of submission.</t>
  </si>
  <si>
    <t>Advance payment 25% towards material procurement shall be made before commencement of the work.</t>
  </si>
  <si>
    <r>
      <t>Receiving and fixing in position 1880mm x 160mm x 17mm Diamond polished  ST-01 marble between room &amp; balcony flushed with WTL-01 flooring, treated with antistain sealer on all sides) threshold as per detail in drg No. -. The job shall also include cutting slot for fixing glass.</t>
    </r>
    <r>
      <rPr>
        <sz val="12"/>
        <color rgb="FFFF0000"/>
        <rFont val="Calibri"/>
        <family val="2"/>
        <scheme val="minor"/>
      </rPr>
      <t>(Polish not included in this rate)</t>
    </r>
  </si>
  <si>
    <t>Marble polish work not included in any item.</t>
  </si>
  <si>
    <r>
      <t xml:space="preserve">Providing &amp; fixing in position shower ledge of 1640mmx50mmx50mm diamond polished  ST-01 marble as per detail in drg no -
</t>
    </r>
    <r>
      <rPr>
        <sz val="12"/>
        <color rgb="FFFF0000"/>
        <rFont val="Calibri"/>
        <family val="2"/>
        <scheme val="minor"/>
      </rPr>
      <t>(Polish not included in this rate)</t>
    </r>
  </si>
  <si>
    <r>
      <t xml:space="preserve">Providing &amp; fixing in position ST-01 marble over wc ledge as per detail in drg no-.
</t>
    </r>
    <r>
      <rPr>
        <sz val="12"/>
        <color rgb="FFFF0000"/>
        <rFont val="Calibri"/>
        <family val="2"/>
        <scheme val="minor"/>
      </rPr>
      <t>(Polish not included in this rate)</t>
    </r>
  </si>
  <si>
    <r>
      <t xml:space="preserve">Receiving and fixing in position Diamond polished  ST-01 marble threshold between vestibule &amp; toilet flushed with TL-01 flooring, treated with antistain sealer on all sides) threshold as per detail in drg No. -. The job shall also include cutting slot for fixing glass.
</t>
    </r>
    <r>
      <rPr>
        <sz val="12"/>
        <color rgb="FFFF0000"/>
        <rFont val="Calibri"/>
        <family val="2"/>
        <scheme val="minor"/>
      </rPr>
      <t>(Polish not included in this 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</si>
</sst>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439]* #,##0.00_ ;_ [$₹-439]* \-#,##0.00_ ;_ [$₹-439]* &quot;-&quot;??_ ;_ @_ "/>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b/>
      <sz val="12"/>
      <color rgb="FFFF0000"/>
      <name val="Calibri Light"/>
      <family val="2"/>
      <scheme val="major"/>
    </font>
    <font>
      <sz val="11"/>
      <name val="Calibri"/>
      <family val="2"/>
      <scheme val="minor"/>
    </font>
    <font>
      <b/>
      <sz val="18"/>
      <color theme="1"/>
      <name val="Calibri"/>
      <family val="2"/>
      <scheme val="minor"/>
    </font>
    <font>
      <b/>
      <sz val="14"/>
      <color theme="1"/>
      <name val="Calibri"/>
      <family val="2"/>
      <scheme val="minor"/>
    </font>
    <font>
      <sz val="12"/>
      <color theme="1"/>
      <name val="Calibri Light"/>
      <family val="2"/>
      <scheme val="major"/>
    </font>
    <font>
      <sz val="12"/>
      <color rgb="FFFF000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5" fontId="1" fillId="0" borderId="0" applyFont="0" applyFill="0" applyBorder="0" applyAlignment="0" applyProtection="0"/>
  </cellStyleXfs>
  <cellXfs count="72">
    <xf numFmtId="0" fontId="0" fillId="0" borderId="0" xfId="0"/>
    <xf numFmtId="0" fontId="3" fillId="3" borderId="1" xfId="1" applyFont="1" applyFill="1" applyBorder="1" applyAlignment="1">
      <alignment horizontal="left" vertical="top"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3" fillId="0" borderId="1" xfId="1" applyFont="1" applyBorder="1" applyAlignment="1">
      <alignment vertical="top" wrapText="1"/>
    </xf>
    <xf numFmtId="0" fontId="6" fillId="0" borderId="1" xfId="1" applyFont="1" applyBorder="1" applyAlignment="1">
      <alignment horizontal="left" vertical="center" wrapText="1"/>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6" fillId="3" borderId="1" xfId="1" applyFont="1" applyFill="1" applyBorder="1" applyAlignment="1">
      <alignment horizontal="left" vertical="center" wrapText="1"/>
    </xf>
    <xf numFmtId="0" fontId="9"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5" xfId="0"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9" fillId="3" borderId="1" xfId="1" applyFont="1" applyFill="1" applyBorder="1" applyAlignment="1">
      <alignment horizontal="center" vertical="center" wrapText="1"/>
    </xf>
    <xf numFmtId="166" fontId="0" fillId="3" borderId="1" xfId="0" applyNumberFormat="1" applyFill="1" applyBorder="1" applyAlignment="1">
      <alignment horizontal="center" vertical="center"/>
    </xf>
    <xf numFmtId="0" fontId="0" fillId="3" borderId="1" xfId="0" applyFill="1" applyBorder="1" applyAlignment="1">
      <alignment horizontal="center"/>
    </xf>
    <xf numFmtId="0" fontId="0" fillId="3" borderId="1" xfId="0" applyFill="1" applyBorder="1" applyAlignment="1">
      <alignment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3" xfId="0" applyBorder="1"/>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1" fillId="0" borderId="1" xfId="0" applyFont="1" applyBorder="1"/>
    <xf numFmtId="166" fontId="0" fillId="0" borderId="0" xfId="0" applyNumberFormat="1"/>
    <xf numFmtId="0" fontId="11" fillId="5" borderId="1" xfId="0" applyFont="1" applyFill="1" applyBorder="1" applyAlignment="1">
      <alignment horizontal="center" vertical="center"/>
    </xf>
    <xf numFmtId="0" fontId="0" fillId="0" borderId="7" xfId="0" applyBorder="1"/>
    <xf numFmtId="0" fontId="0" fillId="0" borderId="2" xfId="0" applyBorder="1"/>
    <xf numFmtId="0" fontId="0" fillId="0" borderId="14" xfId="0" applyBorder="1"/>
    <xf numFmtId="0" fontId="0" fillId="0" borderId="14" xfId="0" applyBorder="1" applyAlignment="1">
      <alignment wrapText="1"/>
    </xf>
    <xf numFmtId="0" fontId="7" fillId="3" borderId="13" xfId="1" applyFont="1" applyFill="1" applyBorder="1" applyAlignment="1">
      <alignment horizontal="center" vertical="center" wrapText="1"/>
    </xf>
    <xf numFmtId="0" fontId="6" fillId="3" borderId="13" xfId="1" applyFont="1" applyFill="1" applyBorder="1" applyAlignment="1">
      <alignment horizontal="left" vertical="center" wrapText="1"/>
    </xf>
    <xf numFmtId="0" fontId="4" fillId="3" borderId="15" xfId="1" applyFont="1" applyFill="1" applyBorder="1" applyAlignment="1">
      <alignment horizontal="center" vertical="center" wrapText="1"/>
    </xf>
    <xf numFmtId="0" fontId="3" fillId="0" borderId="15" xfId="1" applyFont="1" applyBorder="1" applyAlignment="1">
      <alignment vertical="top" wrapText="1"/>
    </xf>
    <xf numFmtId="0" fontId="9" fillId="3" borderId="15" xfId="1" applyFont="1" applyFill="1" applyBorder="1" applyAlignment="1">
      <alignment horizontal="center" vertical="center" wrapText="1"/>
    </xf>
    <xf numFmtId="0" fontId="0" fillId="3" borderId="15" xfId="0" applyFill="1" applyBorder="1" applyAlignment="1">
      <alignment horizontal="center" vertical="center"/>
    </xf>
    <xf numFmtId="0" fontId="2" fillId="5"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9" fillId="3" borderId="13" xfId="1" applyFont="1" applyFill="1" applyBorder="1" applyAlignment="1">
      <alignment horizontal="center" vertical="center" wrapText="1"/>
    </xf>
    <xf numFmtId="0" fontId="2" fillId="3" borderId="13" xfId="0" applyFont="1" applyFill="1"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12" fillId="3" borderId="1" xfId="1" applyFont="1" applyFill="1" applyBorder="1" applyAlignment="1">
      <alignment horizontal="left" vertical="top" wrapText="1"/>
    </xf>
    <xf numFmtId="2" fontId="0" fillId="3" borderId="1" xfId="0" applyNumberFormat="1" applyFill="1" applyBorder="1" applyAlignment="1">
      <alignment horizontal="center" vertical="center"/>
    </xf>
    <xf numFmtId="165" fontId="11" fillId="5" borderId="1" xfId="2" applyFont="1" applyFill="1" applyBorder="1" applyAlignment="1">
      <alignment horizontal="center" vertical="center"/>
    </xf>
    <xf numFmtId="0" fontId="2" fillId="5" borderId="1" xfId="0" applyFont="1" applyFill="1" applyBorder="1" applyAlignment="1">
      <alignment horizontal="left" vertical="center"/>
    </xf>
    <xf numFmtId="0" fontId="0" fillId="0" borderId="0" xfId="0" applyAlignment="1">
      <alignment horizont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7" fillId="0" borderId="10"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left" vertical="center"/>
    </xf>
    <xf numFmtId="0" fontId="11" fillId="5"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cellXfs>
  <cellStyles count="3">
    <cellStyle name="Comma" xfId="2" builtinId="3"/>
    <cellStyle name="Normal" xfId="0" builtinId="0"/>
    <cellStyle name="Normal 2" xfId="1" xr:uid="{00000000-0005-0000-0000-000002000000}"/>
  </cellStyles>
  <dxfs count="2">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8"/>
  <sheetViews>
    <sheetView tabSelected="1" zoomScaleNormal="100" zoomScaleSheetLayoutView="100" workbookViewId="0">
      <selection activeCell="K28" sqref="K28"/>
    </sheetView>
  </sheetViews>
  <sheetFormatPr defaultRowHeight="14.5" x14ac:dyDescent="0.35"/>
  <cols>
    <col min="1" max="1" width="5.6328125" bestFit="1" customWidth="1"/>
    <col min="2" max="2" width="17.81640625" customWidth="1"/>
    <col min="3" max="3" width="52.6328125" customWidth="1"/>
    <col min="4" max="4" width="5.90625" bestFit="1" customWidth="1"/>
    <col min="5" max="5" width="8.36328125" bestFit="1" customWidth="1"/>
    <col min="6" max="6" width="7.54296875" bestFit="1" customWidth="1"/>
    <col min="7" max="7" width="18.36328125" bestFit="1" customWidth="1"/>
    <col min="10" max="10" width="14.1796875" bestFit="1" customWidth="1"/>
  </cols>
  <sheetData>
    <row r="1" spans="1:7" ht="34" customHeight="1" thickBot="1" x14ac:dyDescent="0.4">
      <c r="A1" s="64" t="s">
        <v>48</v>
      </c>
      <c r="B1" s="65"/>
      <c r="C1" s="65"/>
      <c r="D1" s="65"/>
      <c r="E1" s="65"/>
      <c r="F1" s="65"/>
      <c r="G1" s="65"/>
    </row>
    <row r="2" spans="1:7" ht="27.5" customHeight="1" thickBot="1" x14ac:dyDescent="0.4">
      <c r="A2" s="38" t="s">
        <v>0</v>
      </c>
      <c r="B2" s="38" t="s">
        <v>18</v>
      </c>
      <c r="C2" s="38" t="s">
        <v>1</v>
      </c>
      <c r="D2" s="38" t="s">
        <v>2</v>
      </c>
      <c r="E2" s="38" t="s">
        <v>40</v>
      </c>
      <c r="F2" s="38" t="s">
        <v>3</v>
      </c>
      <c r="G2" s="38" t="s">
        <v>4</v>
      </c>
    </row>
    <row r="3" spans="1:7" ht="18" customHeight="1" thickBot="1" x14ac:dyDescent="0.4">
      <c r="A3" s="37"/>
      <c r="B3" s="45"/>
      <c r="C3" s="46"/>
      <c r="D3" s="37"/>
      <c r="E3" s="37"/>
      <c r="F3" s="37"/>
      <c r="G3" s="37"/>
    </row>
    <row r="4" spans="1:7" ht="31.5" customHeight="1" thickBot="1" x14ac:dyDescent="0.4">
      <c r="A4" s="43"/>
      <c r="B4" s="66" t="s">
        <v>20</v>
      </c>
      <c r="C4" s="67"/>
      <c r="D4" s="44"/>
      <c r="E4" s="27"/>
      <c r="F4" s="27"/>
      <c r="G4" s="27"/>
    </row>
    <row r="5" spans="1:7" ht="59.5" customHeight="1" x14ac:dyDescent="0.35">
      <c r="A5" s="28">
        <v>1</v>
      </c>
      <c r="B5" s="47" t="s">
        <v>10</v>
      </c>
      <c r="C5" s="48" t="s">
        <v>5</v>
      </c>
      <c r="D5" s="29" t="s">
        <v>32</v>
      </c>
      <c r="E5" s="28">
        <v>2127</v>
      </c>
      <c r="F5" s="28">
        <v>1025</v>
      </c>
      <c r="G5" s="30">
        <f>F5*E5</f>
        <v>2180175</v>
      </c>
    </row>
    <row r="6" spans="1:7" ht="44.4" customHeight="1" x14ac:dyDescent="0.35">
      <c r="A6" s="31">
        <v>2</v>
      </c>
      <c r="B6" s="3" t="s">
        <v>13</v>
      </c>
      <c r="C6" s="59" t="s">
        <v>7</v>
      </c>
      <c r="D6" s="29" t="s">
        <v>32</v>
      </c>
      <c r="E6" s="28">
        <v>2127</v>
      </c>
      <c r="F6" s="28">
        <v>1510</v>
      </c>
      <c r="G6" s="30">
        <f t="shared" ref="G6:G24" si="0">F6*E6</f>
        <v>3211770</v>
      </c>
    </row>
    <row r="7" spans="1:7" ht="36" customHeight="1" x14ac:dyDescent="0.35">
      <c r="A7" s="31">
        <v>3</v>
      </c>
      <c r="B7" s="3" t="s">
        <v>14</v>
      </c>
      <c r="C7" s="32" t="s">
        <v>8</v>
      </c>
      <c r="D7" s="14" t="s">
        <v>31</v>
      </c>
      <c r="E7" s="28">
        <v>1654</v>
      </c>
      <c r="F7" s="28">
        <v>215</v>
      </c>
      <c r="G7" s="30">
        <f t="shared" si="0"/>
        <v>355610</v>
      </c>
    </row>
    <row r="8" spans="1:7" ht="93" x14ac:dyDescent="0.35">
      <c r="A8" s="28">
        <v>4</v>
      </c>
      <c r="B8" s="3" t="s">
        <v>11</v>
      </c>
      <c r="C8" s="4" t="s">
        <v>9</v>
      </c>
      <c r="D8" s="29" t="s">
        <v>32</v>
      </c>
      <c r="E8" s="28">
        <v>1154</v>
      </c>
      <c r="F8" s="60">
        <v>1400</v>
      </c>
      <c r="G8" s="30">
        <f t="shared" si="0"/>
        <v>1615600</v>
      </c>
    </row>
    <row r="9" spans="1:7" ht="83.5" customHeight="1" x14ac:dyDescent="0.35">
      <c r="A9" s="33">
        <v>5</v>
      </c>
      <c r="B9" s="3" t="s">
        <v>12</v>
      </c>
      <c r="C9" s="13" t="s">
        <v>15</v>
      </c>
      <c r="D9" s="29" t="s">
        <v>32</v>
      </c>
      <c r="E9" s="28">
        <v>2412</v>
      </c>
      <c r="F9" s="60">
        <v>1510</v>
      </c>
      <c r="G9" s="30">
        <f t="shared" si="0"/>
        <v>3642120</v>
      </c>
    </row>
    <row r="10" spans="1:7" ht="31" x14ac:dyDescent="0.35">
      <c r="A10" s="33">
        <v>6</v>
      </c>
      <c r="B10" s="3" t="s">
        <v>17</v>
      </c>
      <c r="C10" s="4" t="s">
        <v>16</v>
      </c>
      <c r="D10" s="29" t="s">
        <v>32</v>
      </c>
      <c r="E10" s="28">
        <v>1049</v>
      </c>
      <c r="F10" s="60">
        <v>1510</v>
      </c>
      <c r="G10" s="30">
        <f t="shared" si="0"/>
        <v>1583990</v>
      </c>
    </row>
    <row r="11" spans="1:7" ht="62" x14ac:dyDescent="0.35">
      <c r="A11" s="33">
        <v>7</v>
      </c>
      <c r="B11" s="3" t="s">
        <v>12</v>
      </c>
      <c r="C11" s="5" t="s">
        <v>19</v>
      </c>
      <c r="D11" s="29" t="s">
        <v>31</v>
      </c>
      <c r="E11" s="28">
        <v>839</v>
      </c>
      <c r="F11" s="60">
        <v>215</v>
      </c>
      <c r="G11" s="30">
        <f t="shared" si="0"/>
        <v>180385</v>
      </c>
    </row>
    <row r="12" spans="1:7" ht="97.5" customHeight="1" x14ac:dyDescent="0.35">
      <c r="A12" s="33">
        <v>8</v>
      </c>
      <c r="B12" s="3" t="s">
        <v>10</v>
      </c>
      <c r="C12" s="6" t="s">
        <v>62</v>
      </c>
      <c r="D12" s="29" t="s">
        <v>32</v>
      </c>
      <c r="E12" s="28">
        <v>237</v>
      </c>
      <c r="F12" s="28">
        <v>2200</v>
      </c>
      <c r="G12" s="30">
        <f t="shared" si="0"/>
        <v>521400</v>
      </c>
    </row>
    <row r="13" spans="1:7" ht="62" x14ac:dyDescent="0.35">
      <c r="A13" s="33">
        <v>9</v>
      </c>
      <c r="B13" s="7" t="s">
        <v>37</v>
      </c>
      <c r="C13" s="9" t="s">
        <v>64</v>
      </c>
      <c r="D13" s="29" t="s">
        <v>31</v>
      </c>
      <c r="E13" s="28">
        <v>189</v>
      </c>
      <c r="F13" s="28">
        <v>360</v>
      </c>
      <c r="G13" s="30">
        <f t="shared" si="0"/>
        <v>68040</v>
      </c>
    </row>
    <row r="14" spans="1:7" ht="46.5" x14ac:dyDescent="0.35">
      <c r="A14" s="33">
        <v>10</v>
      </c>
      <c r="B14" s="7" t="s">
        <v>38</v>
      </c>
      <c r="C14" s="5" t="s">
        <v>65</v>
      </c>
      <c r="D14" s="29" t="s">
        <v>31</v>
      </c>
      <c r="E14" s="28">
        <v>105</v>
      </c>
      <c r="F14" s="28">
        <v>360</v>
      </c>
      <c r="G14" s="30">
        <f t="shared" si="0"/>
        <v>37800</v>
      </c>
    </row>
    <row r="15" spans="1:7" ht="93" x14ac:dyDescent="0.35">
      <c r="A15" s="33">
        <v>11</v>
      </c>
      <c r="B15" s="3" t="s">
        <v>39</v>
      </c>
      <c r="C15" s="6" t="s">
        <v>66</v>
      </c>
      <c r="D15" s="29" t="s">
        <v>31</v>
      </c>
      <c r="E15" s="28">
        <v>95</v>
      </c>
      <c r="F15" s="28">
        <v>360</v>
      </c>
      <c r="G15" s="30">
        <f t="shared" si="0"/>
        <v>34200</v>
      </c>
    </row>
    <row r="16" spans="1:7" x14ac:dyDescent="0.35">
      <c r="A16" s="27"/>
      <c r="B16" s="27"/>
      <c r="C16" s="27"/>
      <c r="D16" s="40"/>
      <c r="E16" s="27"/>
      <c r="F16" s="27"/>
      <c r="G16" s="30">
        <f t="shared" si="0"/>
        <v>0</v>
      </c>
    </row>
    <row r="17" spans="1:45" ht="31" customHeight="1" x14ac:dyDescent="0.35">
      <c r="A17" s="27"/>
      <c r="B17" s="68" t="s">
        <v>41</v>
      </c>
      <c r="C17" s="68"/>
      <c r="D17" s="40"/>
      <c r="E17" s="27"/>
      <c r="F17" s="27"/>
      <c r="G17" s="30">
        <f t="shared" si="0"/>
        <v>0</v>
      </c>
    </row>
    <row r="18" spans="1:45" ht="62" x14ac:dyDescent="0.35">
      <c r="A18" s="33">
        <v>1</v>
      </c>
      <c r="B18" s="2" t="s">
        <v>23</v>
      </c>
      <c r="C18" s="1" t="s">
        <v>21</v>
      </c>
      <c r="D18" s="29" t="s">
        <v>32</v>
      </c>
      <c r="E18" s="28">
        <v>2363</v>
      </c>
      <c r="F18" s="28">
        <v>3770</v>
      </c>
      <c r="G18" s="30">
        <f t="shared" si="0"/>
        <v>8908510</v>
      </c>
    </row>
    <row r="19" spans="1:45" ht="31" x14ac:dyDescent="0.35">
      <c r="A19" s="33">
        <v>2</v>
      </c>
      <c r="B19" s="2" t="s">
        <v>24</v>
      </c>
      <c r="C19" s="1" t="s">
        <v>22</v>
      </c>
      <c r="D19" s="29" t="s">
        <v>32</v>
      </c>
      <c r="E19" s="28">
        <v>586</v>
      </c>
      <c r="F19" s="28">
        <v>1800</v>
      </c>
      <c r="G19" s="30">
        <f t="shared" si="0"/>
        <v>1054800</v>
      </c>
    </row>
    <row r="20" spans="1:45" ht="31" x14ac:dyDescent="0.35">
      <c r="A20" s="33">
        <v>3</v>
      </c>
      <c r="B20" s="2" t="s">
        <v>26</v>
      </c>
      <c r="C20" s="10" t="s">
        <v>25</v>
      </c>
      <c r="D20" s="29" t="s">
        <v>32</v>
      </c>
      <c r="E20" s="28">
        <v>449</v>
      </c>
      <c r="F20" s="28">
        <v>1650</v>
      </c>
      <c r="G20" s="30">
        <f t="shared" si="0"/>
        <v>740850</v>
      </c>
    </row>
    <row r="21" spans="1:45" ht="93" x14ac:dyDescent="0.35">
      <c r="A21" s="33">
        <v>4</v>
      </c>
      <c r="B21" s="2" t="s">
        <v>27</v>
      </c>
      <c r="C21" s="11" t="s">
        <v>28</v>
      </c>
      <c r="D21" s="29" t="s">
        <v>32</v>
      </c>
      <c r="E21" s="28">
        <v>2835</v>
      </c>
      <c r="F21" s="28">
        <v>480</v>
      </c>
      <c r="G21" s="30">
        <f t="shared" si="0"/>
        <v>1360800</v>
      </c>
    </row>
    <row r="22" spans="1:45" ht="93" x14ac:dyDescent="0.35">
      <c r="A22" s="33">
        <v>5</v>
      </c>
      <c r="B22" s="2" t="s">
        <v>29</v>
      </c>
      <c r="C22" s="11" t="s">
        <v>30</v>
      </c>
      <c r="D22" s="29" t="s">
        <v>32</v>
      </c>
      <c r="E22" s="28">
        <v>3308</v>
      </c>
      <c r="F22" s="28">
        <v>480</v>
      </c>
      <c r="G22" s="30">
        <f t="shared" si="0"/>
        <v>1587840</v>
      </c>
    </row>
    <row r="23" spans="1:45" ht="248" x14ac:dyDescent="0.35">
      <c r="A23" s="33">
        <v>6</v>
      </c>
      <c r="B23" s="12" t="s">
        <v>35</v>
      </c>
      <c r="C23" s="8" t="s">
        <v>33</v>
      </c>
      <c r="D23" s="29" t="s">
        <v>32</v>
      </c>
      <c r="E23" s="28">
        <v>5906</v>
      </c>
      <c r="F23" s="28">
        <v>475</v>
      </c>
      <c r="G23" s="30">
        <f t="shared" si="0"/>
        <v>2805350</v>
      </c>
    </row>
    <row r="24" spans="1:45" ht="46.5" x14ac:dyDescent="0.35">
      <c r="A24" s="33">
        <v>7</v>
      </c>
      <c r="B24" s="12" t="s">
        <v>36</v>
      </c>
      <c r="C24" s="8" t="s">
        <v>34</v>
      </c>
      <c r="D24" s="29" t="s">
        <v>32</v>
      </c>
      <c r="E24" s="28">
        <v>473</v>
      </c>
      <c r="F24" s="28">
        <v>1800</v>
      </c>
      <c r="G24" s="30">
        <f t="shared" si="0"/>
        <v>851400</v>
      </c>
    </row>
    <row r="25" spans="1:45" ht="15.5" x14ac:dyDescent="0.35">
      <c r="A25" s="33"/>
      <c r="B25" s="2"/>
      <c r="C25" s="8"/>
      <c r="D25" s="29"/>
      <c r="E25" s="28"/>
      <c r="F25" s="28"/>
      <c r="G25" s="28"/>
    </row>
    <row r="26" spans="1:45" ht="15.5" x14ac:dyDescent="0.35">
      <c r="A26" s="33"/>
      <c r="B26" s="2"/>
      <c r="C26" s="8"/>
      <c r="D26" s="29"/>
      <c r="E26" s="28"/>
      <c r="F26" s="28"/>
      <c r="G26" s="28"/>
    </row>
    <row r="27" spans="1:45" ht="16" thickBot="1" x14ac:dyDescent="0.4">
      <c r="A27" s="57"/>
      <c r="B27" s="49"/>
      <c r="C27" s="50"/>
      <c r="D27" s="51"/>
      <c r="E27" s="52"/>
      <c r="F27" s="52"/>
      <c r="G27" s="52"/>
    </row>
    <row r="28" spans="1:45" ht="31" customHeight="1" thickBot="1" x14ac:dyDescent="0.4">
      <c r="A28" s="70" t="s">
        <v>42</v>
      </c>
      <c r="B28" s="71"/>
      <c r="C28" s="71"/>
      <c r="D28" s="71"/>
      <c r="E28" s="71"/>
      <c r="F28" s="71"/>
      <c r="G28" s="71"/>
    </row>
    <row r="29" spans="1:45" ht="29" customHeight="1" x14ac:dyDescent="0.35">
      <c r="A29" s="58">
        <v>1</v>
      </c>
      <c r="B29" s="53" t="s">
        <v>46</v>
      </c>
      <c r="C29" s="54" t="s">
        <v>43</v>
      </c>
      <c r="D29" s="55" t="s">
        <v>32</v>
      </c>
      <c r="E29" s="56">
        <v>340</v>
      </c>
      <c r="F29" s="28">
        <v>1510</v>
      </c>
      <c r="G29" s="30">
        <f t="shared" ref="G29:G31" si="1">F29*E29</f>
        <v>513400</v>
      </c>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25">
        <v>340</v>
      </c>
      <c r="AS29" s="26" t="s">
        <v>6</v>
      </c>
    </row>
    <row r="30" spans="1:45" ht="29" customHeight="1" thickBot="1" x14ac:dyDescent="0.4">
      <c r="A30" s="33">
        <v>2</v>
      </c>
      <c r="B30" s="39" t="s">
        <v>47</v>
      </c>
      <c r="C30" s="34" t="s">
        <v>44</v>
      </c>
      <c r="D30" s="29" t="s">
        <v>32</v>
      </c>
      <c r="E30" s="35">
        <v>500</v>
      </c>
      <c r="F30" s="28">
        <v>480</v>
      </c>
      <c r="G30" s="30">
        <f t="shared" si="1"/>
        <v>240000</v>
      </c>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20"/>
      <c r="AP30" s="15"/>
      <c r="AQ30" s="16"/>
      <c r="AR30" s="17">
        <v>500</v>
      </c>
      <c r="AS30" s="18" t="s">
        <v>6</v>
      </c>
    </row>
    <row r="31" spans="1:45" ht="29" customHeight="1" thickBot="1" x14ac:dyDescent="0.4">
      <c r="A31" s="33">
        <v>3</v>
      </c>
      <c r="B31" s="39" t="s">
        <v>45</v>
      </c>
      <c r="C31" s="34" t="s">
        <v>45</v>
      </c>
      <c r="D31" s="29" t="s">
        <v>32</v>
      </c>
      <c r="E31" s="35">
        <v>340</v>
      </c>
      <c r="F31" s="28">
        <v>480</v>
      </c>
      <c r="G31" s="30">
        <f t="shared" si="1"/>
        <v>163200</v>
      </c>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20"/>
      <c r="AP31" s="21"/>
      <c r="AQ31" s="22"/>
      <c r="AR31" s="23">
        <v>340</v>
      </c>
      <c r="AS31" s="24" t="s">
        <v>6</v>
      </c>
    </row>
    <row r="32" spans="1:45" ht="22.5" customHeight="1" x14ac:dyDescent="0.35">
      <c r="A32" s="27"/>
      <c r="B32" s="36"/>
      <c r="C32" s="36"/>
      <c r="D32" s="36"/>
      <c r="E32" s="36"/>
      <c r="F32" s="36"/>
      <c r="G32" s="36"/>
      <c r="J32" s="41"/>
    </row>
    <row r="33" spans="1:7" ht="32" customHeight="1" x14ac:dyDescent="0.35">
      <c r="D33" s="69" t="s">
        <v>49</v>
      </c>
      <c r="E33" s="69"/>
      <c r="F33" s="42"/>
      <c r="G33" s="61">
        <f>SUM(G5:G32)</f>
        <v>31657240</v>
      </c>
    </row>
    <row r="36" spans="1:7" x14ac:dyDescent="0.35">
      <c r="B36" s="62" t="s">
        <v>51</v>
      </c>
    </row>
    <row r="37" spans="1:7" x14ac:dyDescent="0.35">
      <c r="A37" s="63">
        <v>1</v>
      </c>
      <c r="B37" t="s">
        <v>50</v>
      </c>
    </row>
    <row r="38" spans="1:7" x14ac:dyDescent="0.35">
      <c r="A38" s="63">
        <v>2</v>
      </c>
      <c r="B38" t="s">
        <v>52</v>
      </c>
    </row>
    <row r="39" spans="1:7" x14ac:dyDescent="0.35">
      <c r="A39" s="63">
        <v>3</v>
      </c>
      <c r="B39" t="s">
        <v>53</v>
      </c>
    </row>
    <row r="40" spans="1:7" x14ac:dyDescent="0.35">
      <c r="A40" s="63">
        <v>4</v>
      </c>
      <c r="B40" t="s">
        <v>54</v>
      </c>
    </row>
    <row r="41" spans="1:7" x14ac:dyDescent="0.35">
      <c r="A41" s="63">
        <v>5</v>
      </c>
      <c r="B41" t="s">
        <v>55</v>
      </c>
    </row>
    <row r="42" spans="1:7" x14ac:dyDescent="0.35">
      <c r="A42" s="63">
        <v>6</v>
      </c>
      <c r="B42" t="s">
        <v>56</v>
      </c>
    </row>
    <row r="43" spans="1:7" x14ac:dyDescent="0.35">
      <c r="A43" s="63">
        <v>7</v>
      </c>
      <c r="B43" t="s">
        <v>57</v>
      </c>
    </row>
    <row r="44" spans="1:7" x14ac:dyDescent="0.35">
      <c r="A44" s="63">
        <v>8</v>
      </c>
      <c r="B44" t="s">
        <v>58</v>
      </c>
    </row>
    <row r="45" spans="1:7" x14ac:dyDescent="0.35">
      <c r="A45" s="63">
        <v>9</v>
      </c>
      <c r="B45" t="s">
        <v>59</v>
      </c>
    </row>
    <row r="46" spans="1:7" x14ac:dyDescent="0.35">
      <c r="A46" s="63">
        <v>10</v>
      </c>
      <c r="B46" t="s">
        <v>60</v>
      </c>
    </row>
    <row r="47" spans="1:7" x14ac:dyDescent="0.35">
      <c r="A47" s="63">
        <v>11</v>
      </c>
      <c r="B47" t="s">
        <v>61</v>
      </c>
    </row>
    <row r="48" spans="1:7" x14ac:dyDescent="0.35">
      <c r="A48" s="63">
        <v>12</v>
      </c>
      <c r="B48" t="s">
        <v>63</v>
      </c>
    </row>
  </sheetData>
  <mergeCells count="5">
    <mergeCell ref="A1:G1"/>
    <mergeCell ref="B4:C4"/>
    <mergeCell ref="B17:C17"/>
    <mergeCell ref="D33:E33"/>
    <mergeCell ref="A28:G28"/>
  </mergeCells>
  <conditionalFormatting sqref="B5:B15">
    <cfRule type="notContainsBlanks" dxfId="1" priority="3">
      <formula>LEN(TRIM(B5))&gt;0</formula>
    </cfRule>
  </conditionalFormatting>
  <conditionalFormatting sqref="B18:B22">
    <cfRule type="notContainsBlanks" dxfId="0" priority="1">
      <formula>LEN(TRIM(B18))&gt;0</formula>
    </cfRule>
  </conditionalFormatting>
  <pageMargins left="0.7" right="0.7" top="0.75" bottom="0.75" header="0.3" footer="0.3"/>
  <pageSetup scale="58" orientation="portrait" r:id="rId1"/>
  <rowBreaks count="1" manualBreakCount="1">
    <brk id="16" max="6" man="1"/>
  </rowBreaks>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Wet Works  (2)</vt:lpstr>
      <vt:lpstr>'Wet Works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2026-10-14T05:25:33Z</dcterms:modified>
</cp:coreProperties>
</file>