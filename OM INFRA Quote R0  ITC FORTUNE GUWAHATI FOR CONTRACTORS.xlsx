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Schedule I.evo\Guwahati\06.10.26\Contractors\"/>
    </mc:Choice>
  </mc:AlternateContent>
  <xr:revisionPtr revIDLastSave="0" documentId="8_{B786DF76-AF0C-4D10-875B-ABFCAB62999F}" xr6:coauthVersionLast="47" xr6:coauthVersionMax="47" xr10:uidLastSave="{00000000-0000-0000-0000-000000000000}"/>
  <bookViews>
    <workbookView xWindow="-110" yWindow="-110" windowWidth="19420" windowHeight="10420" xr2:uid="{00000000-000D-0000-FFFF-FFFF00000000}"/>
  </bookViews>
  <sheets>
    <sheet name="Wet Works  (2)" sheetId="2" r:id="rId1"/>
  </sheets>
  <definedNames>
    <definedName name="_xlnm.Print_Area" localSheetId="0">'Wet Works  (2)'!$A$1:$G$38</definedName>
    <definedName name="_xlnm.Print_Titles" localSheetId="0">'Wet Works  (2)'!$5:$5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 i="2" l="1"/>
  <c r="G33" i="2"/>
  <c r="G32" i="2"/>
  <c r="G27" i="2"/>
  <c r="G26" i="2"/>
  <c r="G25" i="2"/>
  <c r="G24" i="2"/>
  <c r="G23" i="2"/>
  <c r="G22" i="2"/>
  <c r="G21" i="2"/>
  <c r="G9" i="2"/>
  <c r="G10" i="2"/>
  <c r="G11" i="2"/>
  <c r="G12" i="2"/>
  <c r="G13" i="2"/>
  <c r="G14" i="2"/>
  <c r="G15" i="2"/>
  <c r="G16" i="2"/>
  <c r="G17" i="2"/>
  <c r="G18" i="2"/>
  <c r="G8" i="2"/>
  <c r="G36" i="2" l="1"/>
</calcChain>
</file>

<file path=xl/sharedStrings.xml><?xml version="1.0" encoding="utf-8"?>
<sst xmlns="http://schemas.openxmlformats.org/spreadsheetml/2006/main" count="84" uniqueCount="60">
  <si>
    <t xml:space="preserve">Description </t>
  </si>
  <si>
    <t>Unit</t>
  </si>
  <si>
    <t>Rate</t>
  </si>
  <si>
    <t>Amount</t>
  </si>
  <si>
    <t>Providing and laying 8mm waste tiles over cement mortar, to make plain levelled base of SPC flooring. (Basic Rate of waste tiles - Rs.15/- per Sqft)</t>
  </si>
  <si>
    <t>sqm</t>
  </si>
  <si>
    <t>Receiving and fixing in position 6mm thick WTL-01 flooring (Spc Flooring) as per detail in drg. No. -.</t>
  </si>
  <si>
    <t>Same as above 1b, but 100mm Skirting of WTL-01 (Spc Flooring) fixed by adhesive pasting, as per drg No. -.</t>
  </si>
  <si>
    <t>Receiving and fixing in position 8 to 10mm thick TL-01 vitrified tile (600mm x 600mm) flooring with no grooves as per detail in drg. No. -. It shall be fixed with 20-40mm thickness of cement mortar of 1: 4 ( 1 Cement : 4 Coarse Sand). The job shall include cutting, mitering &amp; grouting with appd colour epoxy grout.</t>
  </si>
  <si>
    <t>Room Flooring</t>
  </si>
  <si>
    <t>Toilet Flooring</t>
  </si>
  <si>
    <t>Toilet Walls</t>
  </si>
  <si>
    <t>SPC Flooring</t>
  </si>
  <si>
    <t>SPC Skirting</t>
  </si>
  <si>
    <t>Same as above 2a, but TL-01 tile (600mm x 600mm) tile cladding on wall including making base and fixing with required thickness of laticrete adhesive. (refer drg no -)</t>
  </si>
  <si>
    <t>Same as above 2a, but TL-03 tile (600mm x 600mm) flooring as per detail in drg No. -.</t>
  </si>
  <si>
    <t>Flooring</t>
  </si>
  <si>
    <t>Final Intronote</t>
  </si>
  <si>
    <t>Same as above 2d, but 100mm high Skirting of TL-03 tile as per drg No. -. It shall be fixed with 20-40mm average thickness of cement mortar of 1: 4 ( 1 Cement : 4 Coarse Sand).</t>
  </si>
  <si>
    <t>Receiving and fixing in position 1880mm x 160mm x 17mm Diamond polished  ST-01 marble between room &amp; balcony flushed with WTL-01 flooring, treated with antistain sealer on all sides) threshold as per detail in drg No. -. The job shall also include cutting slot for fixing glass.</t>
  </si>
  <si>
    <t xml:space="preserve">Providing &amp; fixing in position shower ledge of 1640mmx50mmx50mm diamond polished  ST-01 marble as per detail in drg no -
</t>
  </si>
  <si>
    <t xml:space="preserve">Providing &amp; fixing in position ST-01 marble over wc ledge as per detail in drg no-.
</t>
  </si>
  <si>
    <t>Receiving and fixing in position Diamond polished  ST-01 marble threshold between vestibule &amp; toilet flushed with TL-01 flooring, treated with antistain sealer on all sides) threshold as per detail in drg No. -. The job shall also include cutting slot for fixing glass.</t>
  </si>
  <si>
    <t>Civil Works</t>
  </si>
  <si>
    <t>Providing and fixing in position gypsum false ceiling over G.I. metal frame work of appd. quality and wiremesh as per detail in drg No. -
and all related sections and elevations.</t>
  </si>
  <si>
    <t>mr Board- false ceiling in bathroom</t>
  </si>
  <si>
    <t>Room GYPSUM Ceiling</t>
  </si>
  <si>
    <t>TOILET GYPSUM Ceiling</t>
  </si>
  <si>
    <t>This got changed into Gypsum Ceiling, so rate got decreased.</t>
  </si>
  <si>
    <t>TOILET GYPSUM Ceiling Vestibule</t>
  </si>
  <si>
    <t>37. Emulsion Paint - PT 01 over walls</t>
  </si>
  <si>
    <r>
      <t xml:space="preserve">Providing and doing two coat of premium emulsion paint </t>
    </r>
    <r>
      <rPr>
        <b/>
        <sz val="12"/>
        <color rgb="FFFF0000"/>
        <rFont val="Calibri Light"/>
        <family val="2"/>
        <scheme val="major"/>
      </rPr>
      <t>over walls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</si>
  <si>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38. Emulsion Paint - PT 01 over Ceiling</t>
  </si>
  <si>
    <r>
      <t xml:space="preserve">Providing and doing two coat of premium emulsion paint </t>
    </r>
    <r>
      <rPr>
        <b/>
        <sz val="12"/>
        <color rgb="FFFF0000"/>
        <rFont val="Calibri Light"/>
        <family val="2"/>
        <scheme val="major"/>
      </rPr>
      <t>over room ceiling and toilet ceiling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</si>
  <si>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RMT</t>
  </si>
  <si>
    <t>SQMT</t>
  </si>
  <si>
    <t>Providing and applying of punning up to 6-8mm thick layer of super fine Plaster of Paris (anhydrous gypsum) applied over selected existing plastered surface on walls and columns finished smooth, surface prepared by hacking, sand papering  and applying a coat of cement slurry if required including all incidentals, making grooves as directed, pattas, sills, etc. complete. The finished surface should be smooth and in perfect level so as to avoid unevenness and ready to take on paint.complete.Rate is inclusive of cost of materials, providing patterns as per design,groove, all necessary hardware,labour,scaffolding,all lead and lifts at all levels, loading and unloading, transportation and all other incidental charges etc. completed and as directed by the Engineer-in-charge.
Make of POP :- JK,Birla,Sriram,Sakarni,as per approved.</t>
  </si>
  <si>
    <t>Providing and laying 12mm Gypsum board panelling as per drg No. -. The job shall be done as per Gypsum India specification .</t>
  </si>
  <si>
    <t>41. POP Punning</t>
  </si>
  <si>
    <t>42. Gypsum panelling</t>
  </si>
  <si>
    <t>Shower Ledge</t>
  </si>
  <si>
    <t>Wc Ledge</t>
  </si>
  <si>
    <t xml:space="preserve">Threshold </t>
  </si>
  <si>
    <t>Quantity</t>
  </si>
  <si>
    <t>Gypsum &amp; Pop Punning and Paint work</t>
  </si>
  <si>
    <t>Additional Items for Balcony</t>
  </si>
  <si>
    <t>Tile Flooring in Balcony Floor</t>
  </si>
  <si>
    <t>Paint on Side walls</t>
  </si>
  <si>
    <t>Paint on Ceiling</t>
  </si>
  <si>
    <t>Floor Tile</t>
  </si>
  <si>
    <t>Paint on wall</t>
  </si>
  <si>
    <t xml:space="preserve">ITC FORTUNE GUWAHATI </t>
  </si>
  <si>
    <t>```</t>
  </si>
  <si>
    <t>Need to detail discuss</t>
  </si>
  <si>
    <t>OM INFRA SOLUTIONS</t>
  </si>
  <si>
    <t>206 A4 ELARA JP-North Garden City, Vinay Nagar Rd, Kashimira, Ghodbunder, Mira Bhayandar, Thane, Maharashtra - 401107</t>
  </si>
  <si>
    <t>Date :- 13.09.2026</t>
  </si>
  <si>
    <t>For Om Infra Solutions</t>
  </si>
  <si>
    <r>
      <rPr>
        <b/>
        <u/>
        <sz val="12"/>
        <rFont val="Century Gothic"/>
        <family val="2"/>
      </rPr>
      <t>Notes &amp; Terms conditions:</t>
    </r>
    <r>
      <rPr>
        <sz val="12"/>
        <rFont val="Century Gothic"/>
        <family val="2"/>
      </rPr>
      <t xml:space="preserve">
1. Electricity &amp; Water is to be free issued by client.
2. There should not be any restriction in working hours at site.
3. Lifting Hoist/ Service lift is to be provided by client free of cost at site for material and manpower movement.
4.  Labour accomondation provide by client
5. All MEP work by other.
6. we cansidered Ecotec BWP ply and white ashwood.
7. Rate valid for 06 months, after this rate will be incrased 10% 
</t>
    </r>
    <r>
      <rPr>
        <u/>
        <sz val="12"/>
        <rFont val="Century Gothic"/>
        <family val="2"/>
      </rPr>
      <t xml:space="preserve">8. Payment terms: </t>
    </r>
    <r>
      <rPr>
        <sz val="12"/>
        <rFont val="Century Gothic"/>
        <family val="2"/>
      </rPr>
      <t xml:space="preserve">
Since it is a fast track project, payment is to be done within 7 days from the submission of bill as per following payment milestones.
a. 25% Advance along with WO.
b. 25% on material delivery at site.
c. 50% On pro-rata basis upon installation of works at site.
d. Factroy finish material - 60% advance, 30% befor disptch and 10% after delivery
There should not be any PBG. We request to waive off the same.</t>
    </r>
  </si>
  <si>
    <t>Grand Total Amount ( GST Excluding)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</si>
</sst>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 * #,##0.00_ ;_ * \-#,##0.00_ ;_ * &quot;-&quot;??_ ;_ @_ "/>
    <numFmt numFmtId="166" formatCode="_ [$₹-439]* #,##0.00_ ;_ [$₹-439]* \-#,##0.00_ ;_ [$₹-439]* &quot;-&quot;??_ ;_ @_ "/>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2"/>
      <name val="Calibri Light"/>
      <family val="2"/>
      <scheme val="major"/>
    </font>
    <font>
      <b/>
      <sz val="12"/>
      <name val="Calibri Light"/>
      <family val="2"/>
      <scheme val="major"/>
    </font>
    <font>
      <b/>
      <sz val="12"/>
      <name val="Calibri"/>
      <family val="2"/>
      <scheme val="minor"/>
    </font>
    <font>
      <sz val="12"/>
      <name val="Calibri"/>
      <family val="2"/>
      <scheme val="minor"/>
    </font>
    <font>
      <b/>
      <sz val="12"/>
      <color theme="1"/>
      <name val="Calibri"/>
      <family val="2"/>
      <scheme val="minor"/>
    </font>
    <font>
      <b/>
      <sz val="12"/>
      <color rgb="FFFF0000"/>
      <name val="Calibri Light"/>
      <family val="2"/>
      <scheme val="major"/>
    </font>
    <font>
      <sz val="11"/>
      <name val="Calibri"/>
      <family val="2"/>
      <scheme val="minor"/>
    </font>
    <font>
      <b/>
      <sz val="18"/>
      <color theme="1"/>
      <name val="Calibri"/>
      <family val="2"/>
      <scheme val="minor"/>
    </font>
    <font>
      <b/>
      <sz val="14"/>
      <color theme="1"/>
      <name val="Calibri"/>
      <family val="2"/>
      <scheme val="minor"/>
    </font>
    <font>
      <sz val="12"/>
      <color theme="1"/>
      <name val="Calibri Light"/>
      <family val="2"/>
      <scheme val="major"/>
    </font>
    <font>
      <b/>
      <sz val="28"/>
      <color theme="0" tint="-0.499984740745262"/>
      <name val="Times New Roman"/>
      <family val="1"/>
    </font>
    <font>
      <sz val="11"/>
      <color theme="1"/>
      <name val="Times New Roman"/>
      <family val="1"/>
    </font>
    <font>
      <sz val="11"/>
      <color theme="4" tint="-0.249977111117893"/>
      <name val="Times New Roman"/>
      <family val="1"/>
    </font>
    <font>
      <b/>
      <sz val="11"/>
      <color theme="1"/>
      <name val="Times New Roman"/>
      <family val="1"/>
    </font>
    <font>
      <sz val="10"/>
      <name val="Arial"/>
      <family val="2"/>
    </font>
    <font>
      <sz val="12"/>
      <name val="Century Gothic"/>
      <family val="2"/>
    </font>
    <font>
      <b/>
      <u/>
      <sz val="12"/>
      <name val="Century Gothic"/>
      <family val="2"/>
    </font>
    <font>
      <u/>
      <sz val="12"/>
      <name val="Century Gothic"/>
      <family val="2"/>
    </font>
    <font>
      <sz val="12"/>
      <name val="Arial"/>
      <family val="2"/>
    </font>
    <font>
      <b/>
      <sz val="10"/>
      <name val="Arial"/>
      <family val="2"/>
    </font>
  </fonts>
  <fills count="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FFFFFF"/>
        <bgColor rgb="FFFFFFFF"/>
      </patternFill>
    </fill>
    <fill>
      <patternFill patternType="solid">
        <fgColor theme="5"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s>
  <cellStyleXfs count="4">
    <xf numFmtId="0" fontId="0" fillId="0" borderId="0"/>
    <xf numFmtId="0" fontId="1" fillId="0" borderId="0"/>
    <xf numFmtId="165" fontId="1" fillId="0" borderId="0" applyFont="0" applyFill="0" applyBorder="0" applyAlignment="0" applyProtection="0"/>
    <xf numFmtId="0" fontId="17" fillId="0" borderId="0"/>
  </cellStyleXfs>
  <cellXfs count="102">
    <xf numFmtId="0" fontId="0" fillId="0" borderId="0" xfId="0"/>
    <xf numFmtId="0" fontId="3" fillId="3" borderId="1" xfId="1" applyFont="1" applyFill="1" applyBorder="1" applyAlignment="1">
      <alignment horizontal="left" vertical="top" wrapText="1"/>
    </xf>
    <xf numFmtId="0" fontId="4"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6" fillId="3" borderId="1" xfId="1" applyFont="1" applyFill="1" applyBorder="1" applyAlignment="1">
      <alignment horizontal="left" vertical="top" wrapText="1"/>
    </xf>
    <xf numFmtId="0" fontId="6" fillId="0" borderId="1" xfId="1" applyFont="1" applyBorder="1" applyAlignment="1">
      <alignment horizontal="left" vertical="top" wrapText="1"/>
    </xf>
    <xf numFmtId="0" fontId="6" fillId="4" borderId="1" xfId="1" applyFont="1" applyFill="1" applyBorder="1" applyAlignment="1">
      <alignment horizontal="left" vertical="top" wrapText="1"/>
    </xf>
    <xf numFmtId="0" fontId="5" fillId="3" borderId="1" xfId="1" applyFont="1" applyFill="1" applyBorder="1" applyAlignment="1">
      <alignment horizontal="center" vertical="center"/>
    </xf>
    <xf numFmtId="0" fontId="3" fillId="0" borderId="1" xfId="1" applyFont="1" applyBorder="1" applyAlignment="1">
      <alignment vertical="top" wrapText="1"/>
    </xf>
    <xf numFmtId="0" fontId="6" fillId="0" borderId="1" xfId="1" applyFont="1" applyBorder="1" applyAlignment="1">
      <alignment horizontal="left" vertical="center" wrapText="1"/>
    </xf>
    <xf numFmtId="0" fontId="3" fillId="3" borderId="1" xfId="1" applyFont="1" applyFill="1" applyBorder="1" applyAlignment="1">
      <alignment horizontal="left" vertical="center" wrapText="1"/>
    </xf>
    <xf numFmtId="0" fontId="3" fillId="3" borderId="1" xfId="1" applyFont="1" applyFill="1" applyBorder="1" applyAlignment="1">
      <alignment vertical="top" wrapText="1"/>
    </xf>
    <xf numFmtId="0" fontId="4" fillId="5" borderId="1" xfId="1" applyFont="1" applyFill="1" applyBorder="1" applyAlignment="1">
      <alignment horizontal="center" vertical="center" wrapText="1"/>
    </xf>
    <xf numFmtId="0" fontId="6" fillId="3" borderId="1" xfId="1" applyFont="1" applyFill="1" applyBorder="1" applyAlignment="1">
      <alignment horizontal="left" vertical="center" wrapText="1"/>
    </xf>
    <xf numFmtId="0" fontId="9" fillId="0" borderId="1" xfId="1"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2" borderId="5" xfId="0" applyFont="1" applyFill="1" applyBorder="1" applyAlignment="1">
      <alignment horizontal="center" vertical="center" wrapText="1"/>
    </xf>
    <xf numFmtId="164" fontId="2" fillId="0" borderId="5" xfId="0" applyNumberFormat="1" applyFont="1"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2" fillId="2" borderId="8" xfId="0" applyFont="1" applyFill="1" applyBorder="1" applyAlignment="1">
      <alignment horizontal="center" vertical="center" wrapText="1"/>
    </xf>
    <xf numFmtId="164" fontId="2" fillId="0" borderId="8" xfId="0" applyNumberFormat="1" applyFont="1" applyBorder="1" applyAlignment="1">
      <alignment horizontal="center" vertical="center" wrapText="1"/>
    </xf>
    <xf numFmtId="0" fontId="2" fillId="2"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0" borderId="1" xfId="0" applyBorder="1"/>
    <xf numFmtId="0" fontId="0" fillId="3" borderId="1" xfId="0" applyFill="1" applyBorder="1" applyAlignment="1">
      <alignment horizontal="center" vertical="center"/>
    </xf>
    <xf numFmtId="0" fontId="9" fillId="3" borderId="1" xfId="1" applyFont="1" applyFill="1" applyBorder="1" applyAlignment="1">
      <alignment horizontal="center" vertical="center" wrapText="1"/>
    </xf>
    <xf numFmtId="0" fontId="0" fillId="3" borderId="1" xfId="0" applyFill="1" applyBorder="1" applyAlignment="1">
      <alignment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0" fillId="0" borderId="13" xfId="0" applyBorder="1"/>
    <xf numFmtId="0" fontId="2" fillId="0" borderId="9" xfId="0" applyFont="1" applyBorder="1" applyAlignment="1">
      <alignment horizontal="center" vertical="center"/>
    </xf>
    <xf numFmtId="0" fontId="2" fillId="5" borderId="1" xfId="0" applyFont="1" applyFill="1" applyBorder="1" applyAlignment="1">
      <alignment horizontal="center" vertical="center"/>
    </xf>
    <xf numFmtId="0" fontId="1" fillId="0" borderId="1" xfId="0" applyFont="1" applyBorder="1"/>
    <xf numFmtId="166" fontId="0" fillId="0" borderId="0" xfId="0" applyNumberFormat="1"/>
    <xf numFmtId="0" fontId="0" fillId="0" borderId="2" xfId="0" applyBorder="1"/>
    <xf numFmtId="0" fontId="0" fillId="0" borderId="14" xfId="0" applyBorder="1"/>
    <xf numFmtId="0" fontId="0" fillId="0" borderId="14" xfId="0" applyBorder="1" applyAlignment="1">
      <alignment wrapText="1"/>
    </xf>
    <xf numFmtId="0" fontId="7" fillId="3" borderId="13" xfId="1" applyFont="1" applyFill="1" applyBorder="1" applyAlignment="1">
      <alignment horizontal="center" vertical="center" wrapText="1"/>
    </xf>
    <xf numFmtId="0" fontId="6" fillId="3" borderId="13" xfId="1" applyFont="1" applyFill="1" applyBorder="1" applyAlignment="1">
      <alignment horizontal="left" vertical="center" wrapText="1"/>
    </xf>
    <xf numFmtId="0" fontId="4" fillId="3" borderId="15" xfId="1" applyFont="1" applyFill="1" applyBorder="1" applyAlignment="1">
      <alignment horizontal="center" vertical="center" wrapText="1"/>
    </xf>
    <xf numFmtId="0" fontId="3" fillId="0" borderId="15" xfId="1" applyFont="1" applyBorder="1" applyAlignment="1">
      <alignment vertical="top" wrapText="1"/>
    </xf>
    <xf numFmtId="0" fontId="9" fillId="3" borderId="15" xfId="1" applyFont="1" applyFill="1" applyBorder="1" applyAlignment="1">
      <alignment horizontal="center" vertical="center" wrapText="1"/>
    </xf>
    <xf numFmtId="0" fontId="0" fillId="3" borderId="15" xfId="0" applyFill="1" applyBorder="1" applyAlignment="1">
      <alignment horizontal="center" vertical="center"/>
    </xf>
    <xf numFmtId="0" fontId="2" fillId="5" borderId="13" xfId="0" applyFont="1" applyFill="1" applyBorder="1" applyAlignment="1">
      <alignment horizontal="center" vertical="center"/>
    </xf>
    <xf numFmtId="0" fontId="1" fillId="3" borderId="13" xfId="0" applyFont="1" applyFill="1" applyBorder="1" applyAlignment="1">
      <alignment horizontal="center" vertical="center" wrapText="1"/>
    </xf>
    <xf numFmtId="0" fontId="9" fillId="3" borderId="13" xfId="1" applyFont="1" applyFill="1" applyBorder="1" applyAlignment="1">
      <alignment horizontal="center" vertical="center" wrapText="1"/>
    </xf>
    <xf numFmtId="0" fontId="2" fillId="3" borderId="13" xfId="0" applyFont="1" applyFill="1" applyBorder="1" applyAlignment="1">
      <alignment horizontal="center" vertical="center" wrapText="1"/>
    </xf>
    <xf numFmtId="0" fontId="12" fillId="3" borderId="1" xfId="1" applyFont="1" applyFill="1" applyBorder="1" applyAlignment="1">
      <alignment horizontal="left" vertical="top" wrapText="1"/>
    </xf>
    <xf numFmtId="2" fontId="0" fillId="3" borderId="1" xfId="0" applyNumberFormat="1" applyFill="1" applyBorder="1" applyAlignment="1">
      <alignment horizontal="center" vertical="center"/>
    </xf>
    <xf numFmtId="0" fontId="15" fillId="0" borderId="22" xfId="0" applyFont="1" applyBorder="1" applyAlignment="1">
      <alignment horizontal="center"/>
    </xf>
    <xf numFmtId="0" fontId="17" fillId="0" borderId="0" xfId="0" applyFont="1"/>
    <xf numFmtId="0" fontId="21" fillId="0" borderId="0" xfId="0" applyFont="1"/>
    <xf numFmtId="165" fontId="0" fillId="0" borderId="0" xfId="2" applyFont="1" applyAlignment="1">
      <alignment horizontal="center" vertical="top"/>
    </xf>
    <xf numFmtId="165" fontId="0" fillId="0" borderId="0" xfId="2" applyFont="1" applyAlignment="1">
      <alignment horizontal="justify" vertical="top"/>
    </xf>
    <xf numFmtId="165" fontId="0" fillId="0" borderId="0" xfId="2" applyFont="1"/>
    <xf numFmtId="0" fontId="0" fillId="0" borderId="25" xfId="0" applyBorder="1"/>
    <xf numFmtId="0" fontId="0" fillId="0" borderId="26" xfId="0" applyBorder="1"/>
    <xf numFmtId="0" fontId="0" fillId="0" borderId="27" xfId="0" applyBorder="1"/>
    <xf numFmtId="0" fontId="0" fillId="0" borderId="28" xfId="0" applyBorder="1"/>
    <xf numFmtId="0" fontId="0" fillId="3" borderId="29" xfId="0" applyFill="1" applyBorder="1" applyAlignment="1">
      <alignment horizontal="center" vertical="center"/>
    </xf>
    <xf numFmtId="166" fontId="0" fillId="3" borderId="28" xfId="0" applyNumberFormat="1" applyFill="1" applyBorder="1" applyAlignment="1">
      <alignment horizontal="center" vertical="center"/>
    </xf>
    <xf numFmtId="0" fontId="0" fillId="3" borderId="29" xfId="0" applyFill="1" applyBorder="1" applyAlignment="1">
      <alignment horizontal="center"/>
    </xf>
    <xf numFmtId="0" fontId="0" fillId="0" borderId="29" xfId="0" applyBorder="1" applyAlignment="1">
      <alignment horizontal="center" vertical="center"/>
    </xf>
    <xf numFmtId="0" fontId="0" fillId="0" borderId="29" xfId="0" applyBorder="1"/>
    <xf numFmtId="166" fontId="0" fillId="0" borderId="28" xfId="0" applyNumberFormat="1" applyBorder="1"/>
    <xf numFmtId="0" fontId="0" fillId="3" borderId="28" xfId="0" applyFill="1" applyBorder="1" applyAlignment="1">
      <alignment horizontal="center" vertical="center"/>
    </xf>
    <xf numFmtId="0" fontId="0" fillId="0" borderId="30" xfId="0" applyBorder="1" applyAlignment="1">
      <alignment horizontal="center" vertical="center"/>
    </xf>
    <xf numFmtId="0" fontId="0" fillId="3" borderId="31" xfId="0" applyFill="1" applyBorder="1" applyAlignment="1">
      <alignment horizontal="center" vertical="center"/>
    </xf>
    <xf numFmtId="0" fontId="0" fillId="0" borderId="25" xfId="0" applyBorder="1" applyAlignment="1">
      <alignment horizontal="center" vertical="center"/>
    </xf>
    <xf numFmtId="0" fontId="0" fillId="3" borderId="28" xfId="0" applyFill="1" applyBorder="1"/>
    <xf numFmtId="0" fontId="11" fillId="5" borderId="28" xfId="0" applyFont="1" applyFill="1" applyBorder="1" applyAlignment="1">
      <alignment horizontal="center" vertical="center"/>
    </xf>
    <xf numFmtId="3" fontId="18" fillId="0" borderId="22" xfId="3" applyNumberFormat="1" applyFont="1" applyBorder="1" applyAlignment="1">
      <alignment horizontal="left" vertical="top" wrapText="1"/>
    </xf>
    <xf numFmtId="3" fontId="18" fillId="0" borderId="0" xfId="3" applyNumberFormat="1" applyFont="1" applyAlignment="1">
      <alignment horizontal="left" vertical="top" wrapText="1"/>
    </xf>
    <xf numFmtId="3" fontId="18" fillId="0" borderId="6" xfId="3" applyNumberFormat="1" applyFont="1" applyBorder="1" applyAlignment="1">
      <alignment horizontal="left" vertical="top" wrapText="1"/>
    </xf>
    <xf numFmtId="0" fontId="22" fillId="0" borderId="19" xfId="0" applyFont="1" applyBorder="1" applyAlignment="1">
      <alignment horizontal="left"/>
    </xf>
    <xf numFmtId="0" fontId="22" fillId="0" borderId="20" xfId="0" applyFont="1" applyBorder="1" applyAlignment="1">
      <alignment horizontal="left"/>
    </xf>
    <xf numFmtId="0" fontId="22" fillId="0" borderId="21" xfId="0" applyFont="1" applyBorder="1" applyAlignment="1">
      <alignment horizontal="left"/>
    </xf>
    <xf numFmtId="0" fontId="11" fillId="5" borderId="32" xfId="0" applyFont="1" applyFill="1" applyBorder="1" applyAlignment="1">
      <alignment horizontal="center" vertical="center"/>
    </xf>
    <xf numFmtId="0" fontId="11" fillId="5" borderId="23" xfId="0" applyFont="1" applyFill="1" applyBorder="1" applyAlignment="1">
      <alignment horizontal="center" vertical="center"/>
    </xf>
    <xf numFmtId="0" fontId="11" fillId="5" borderId="24" xfId="0" applyFont="1" applyFill="1" applyBorder="1" applyAlignment="1">
      <alignment horizontal="center" vertical="center"/>
    </xf>
    <xf numFmtId="0" fontId="13" fillId="0" borderId="16" xfId="0" applyFont="1" applyBorder="1" applyAlignment="1">
      <alignment horizontal="center"/>
    </xf>
    <xf numFmtId="0" fontId="13" fillId="0" borderId="17" xfId="0" applyFont="1" applyBorder="1" applyAlignment="1">
      <alignment horizontal="center"/>
    </xf>
    <xf numFmtId="0" fontId="13" fillId="0" borderId="18" xfId="0" applyFont="1" applyBorder="1" applyAlignment="1">
      <alignment horizontal="center"/>
    </xf>
    <xf numFmtId="0" fontId="14" fillId="0" borderId="19" xfId="0" applyFont="1" applyBorder="1" applyAlignment="1">
      <alignment horizontal="center" wrapText="1"/>
    </xf>
    <xf numFmtId="0" fontId="14" fillId="0" borderId="20" xfId="0" applyFont="1" applyBorder="1" applyAlignment="1">
      <alignment horizontal="center" wrapText="1"/>
    </xf>
    <xf numFmtId="0" fontId="14" fillId="0" borderId="21" xfId="0" applyFont="1" applyBorder="1" applyAlignment="1">
      <alignment horizontal="center" wrapText="1"/>
    </xf>
    <xf numFmtId="0" fontId="16" fillId="0" borderId="20" xfId="0" applyFont="1" applyBorder="1" applyAlignment="1">
      <alignment horizontal="right"/>
    </xf>
    <xf numFmtId="0" fontId="16" fillId="0" borderId="21" xfId="0" applyFont="1" applyBorder="1" applyAlignment="1">
      <alignment horizontal="right"/>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7" fillId="0" borderId="10" xfId="0" applyFont="1" applyBorder="1" applyAlignment="1">
      <alignment horizontal="left" vertical="center"/>
    </xf>
    <xf numFmtId="0" fontId="7" fillId="0" borderId="12" xfId="0" applyFont="1" applyBorder="1" applyAlignment="1">
      <alignment horizontal="left" vertical="center"/>
    </xf>
    <xf numFmtId="0" fontId="7" fillId="0" borderId="1" xfId="0" applyFont="1" applyBorder="1" applyAlignment="1">
      <alignment horizontal="left"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cellXfs>
  <cellStyles count="4">
    <cellStyle name="Comma" xfId="2" builtinId="3"/>
    <cellStyle name="Normal" xfId="0" builtinId="0"/>
    <cellStyle name="Normal 10" xfId="3" xr:uid="{BD623129-341A-47D8-AE1F-A3216453D854}"/>
    <cellStyle name="Normal 2" xfId="1" xr:uid="{8F244D06-BD3C-40D0-B90F-ECDAE62E55DF}"/>
  </cellStyles>
  <dxfs count="2">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750F4-662D-4BE1-A43A-DB66FF17EF6E}">
  <sheetPr>
    <pageSetUpPr fitToPage="1"/>
  </sheetPr>
  <dimension ref="A1:IJ39"/>
  <sheetViews>
    <sheetView tabSelected="1" view="pageBreakPreview" topLeftCell="A28" zoomScaleNormal="100" zoomScaleSheetLayoutView="100" workbookViewId="0">
      <selection activeCell="I7" sqref="I7"/>
    </sheetView>
  </sheetViews>
  <sheetFormatPr defaultRowHeight="14.5" x14ac:dyDescent="0.35"/>
  <cols>
    <col min="2" max="2" width="17.81640625" customWidth="1"/>
    <col min="3" max="3" width="52.6328125" customWidth="1"/>
    <col min="4" max="4" width="6.1796875" customWidth="1"/>
    <col min="6" max="6" width="9.81640625" customWidth="1"/>
    <col min="7" max="7" width="15.36328125" customWidth="1"/>
    <col min="10" max="10" width="14.1796875" bestFit="1" customWidth="1"/>
  </cols>
  <sheetData>
    <row r="1" spans="1:8" ht="34.5" x14ac:dyDescent="0.65">
      <c r="A1" s="85" t="s">
        <v>54</v>
      </c>
      <c r="B1" s="86"/>
      <c r="C1" s="86"/>
      <c r="D1" s="86"/>
      <c r="E1" s="86"/>
      <c r="F1" s="86"/>
      <c r="G1" s="87"/>
    </row>
    <row r="2" spans="1:8" ht="32.4" customHeight="1" thickBot="1" x14ac:dyDescent="0.4">
      <c r="A2" s="88" t="s">
        <v>55</v>
      </c>
      <c r="B2" s="89"/>
      <c r="C2" s="89"/>
      <c r="D2" s="89"/>
      <c r="E2" s="89"/>
      <c r="F2" s="89"/>
      <c r="G2" s="90"/>
    </row>
    <row r="3" spans="1:8" ht="15" thickBot="1" x14ac:dyDescent="0.4">
      <c r="A3" s="54"/>
      <c r="B3" s="91" t="s">
        <v>56</v>
      </c>
      <c r="C3" s="91"/>
      <c r="D3" s="91"/>
      <c r="E3" s="91"/>
      <c r="F3" s="91"/>
      <c r="G3" s="92"/>
    </row>
    <row r="4" spans="1:8" ht="34" customHeight="1" thickBot="1" x14ac:dyDescent="0.4">
      <c r="A4" s="93" t="s">
        <v>51</v>
      </c>
      <c r="B4" s="94"/>
      <c r="C4" s="94"/>
      <c r="D4" s="94"/>
      <c r="E4" s="94"/>
      <c r="F4" s="94"/>
      <c r="G4" s="95"/>
    </row>
    <row r="5" spans="1:8" ht="27.5" customHeight="1" thickBot="1" x14ac:dyDescent="0.4">
      <c r="A5" s="35" t="s">
        <v>52</v>
      </c>
      <c r="B5" s="35" t="s">
        <v>17</v>
      </c>
      <c r="C5" s="35" t="s">
        <v>0</v>
      </c>
      <c r="D5" s="35" t="s">
        <v>1</v>
      </c>
      <c r="E5" s="35" t="s">
        <v>43</v>
      </c>
      <c r="F5" s="35" t="s">
        <v>2</v>
      </c>
      <c r="G5" s="35" t="s">
        <v>3</v>
      </c>
    </row>
    <row r="6" spans="1:8" ht="18" customHeight="1" thickBot="1" x14ac:dyDescent="0.4">
      <c r="A6" s="60"/>
      <c r="B6" s="40"/>
      <c r="C6" s="41"/>
      <c r="D6" s="34"/>
      <c r="E6" s="34"/>
      <c r="F6" s="34"/>
      <c r="G6" s="61"/>
    </row>
    <row r="7" spans="1:8" ht="31.5" customHeight="1" thickBot="1" x14ac:dyDescent="0.4">
      <c r="A7" s="62"/>
      <c r="B7" s="96" t="s">
        <v>23</v>
      </c>
      <c r="C7" s="97"/>
      <c r="D7" s="39"/>
      <c r="E7" s="27"/>
      <c r="F7" s="27"/>
      <c r="G7" s="63"/>
    </row>
    <row r="8" spans="1:8" ht="59.5" customHeight="1" x14ac:dyDescent="0.35">
      <c r="A8" s="64">
        <v>1</v>
      </c>
      <c r="B8" s="42" t="s">
        <v>9</v>
      </c>
      <c r="C8" s="43" t="s">
        <v>4</v>
      </c>
      <c r="D8" s="29" t="s">
        <v>35</v>
      </c>
      <c r="E8" s="28">
        <v>2127</v>
      </c>
      <c r="F8" s="28">
        <v>1750</v>
      </c>
      <c r="G8" s="65">
        <f>F8*E8</f>
        <v>3722250</v>
      </c>
    </row>
    <row r="9" spans="1:8" ht="31" hidden="1" x14ac:dyDescent="0.35">
      <c r="A9" s="66">
        <v>2</v>
      </c>
      <c r="B9" s="3" t="s">
        <v>12</v>
      </c>
      <c r="C9" s="52" t="s">
        <v>6</v>
      </c>
      <c r="D9" s="29" t="s">
        <v>35</v>
      </c>
      <c r="E9" s="28">
        <v>2127</v>
      </c>
      <c r="F9" s="28"/>
      <c r="G9" s="65">
        <f t="shared" ref="G9:G18" si="0">F9*E9</f>
        <v>0</v>
      </c>
    </row>
    <row r="10" spans="1:8" ht="29" hidden="1" x14ac:dyDescent="0.35">
      <c r="A10" s="66">
        <v>3</v>
      </c>
      <c r="B10" s="3" t="s">
        <v>13</v>
      </c>
      <c r="C10" s="30" t="s">
        <v>7</v>
      </c>
      <c r="D10" s="14" t="s">
        <v>34</v>
      </c>
      <c r="E10" s="28">
        <v>1654</v>
      </c>
      <c r="F10" s="28"/>
      <c r="G10" s="65">
        <f t="shared" si="0"/>
        <v>0</v>
      </c>
    </row>
    <row r="11" spans="1:8" ht="93" x14ac:dyDescent="0.35">
      <c r="A11" s="64">
        <v>4</v>
      </c>
      <c r="B11" s="3" t="s">
        <v>10</v>
      </c>
      <c r="C11" s="4" t="s">
        <v>8</v>
      </c>
      <c r="D11" s="29" t="s">
        <v>35</v>
      </c>
      <c r="E11" s="28">
        <v>1154</v>
      </c>
      <c r="F11" s="53">
        <v>1750</v>
      </c>
      <c r="G11" s="65">
        <f t="shared" si="0"/>
        <v>2019500</v>
      </c>
    </row>
    <row r="12" spans="1:8" ht="83.5" customHeight="1" x14ac:dyDescent="0.35">
      <c r="A12" s="67">
        <v>5</v>
      </c>
      <c r="B12" s="3" t="s">
        <v>11</v>
      </c>
      <c r="C12" s="13" t="s">
        <v>14</v>
      </c>
      <c r="D12" s="29" t="s">
        <v>35</v>
      </c>
      <c r="E12" s="28">
        <v>2412</v>
      </c>
      <c r="F12" s="53">
        <v>1850</v>
      </c>
      <c r="G12" s="65">
        <f t="shared" si="0"/>
        <v>4462200</v>
      </c>
    </row>
    <row r="13" spans="1:8" ht="31" x14ac:dyDescent="0.35">
      <c r="A13" s="67">
        <v>6</v>
      </c>
      <c r="B13" s="3" t="s">
        <v>16</v>
      </c>
      <c r="C13" s="4" t="s">
        <v>15</v>
      </c>
      <c r="D13" s="29" t="s">
        <v>35</v>
      </c>
      <c r="E13" s="28">
        <v>1049</v>
      </c>
      <c r="F13" s="53">
        <v>1750</v>
      </c>
      <c r="G13" s="65">
        <f t="shared" si="0"/>
        <v>1835750</v>
      </c>
    </row>
    <row r="14" spans="1:8" ht="62" x14ac:dyDescent="0.35">
      <c r="A14" s="67">
        <v>7</v>
      </c>
      <c r="B14" s="3" t="s">
        <v>11</v>
      </c>
      <c r="C14" s="5" t="s">
        <v>18</v>
      </c>
      <c r="D14" s="29" t="s">
        <v>34</v>
      </c>
      <c r="E14" s="28">
        <v>839</v>
      </c>
      <c r="F14" s="53">
        <v>450</v>
      </c>
      <c r="G14" s="65">
        <f t="shared" si="0"/>
        <v>377550</v>
      </c>
    </row>
    <row r="15" spans="1:8" ht="97.5" customHeight="1" x14ac:dyDescent="0.35">
      <c r="A15" s="67">
        <v>8</v>
      </c>
      <c r="B15" s="3" t="s">
        <v>9</v>
      </c>
      <c r="C15" s="6" t="s">
        <v>19</v>
      </c>
      <c r="D15" s="29" t="s">
        <v>35</v>
      </c>
      <c r="E15" s="28">
        <v>237</v>
      </c>
      <c r="F15" s="28">
        <v>8500</v>
      </c>
      <c r="G15" s="65">
        <f t="shared" si="0"/>
        <v>2014500</v>
      </c>
      <c r="H15" t="s">
        <v>53</v>
      </c>
    </row>
    <row r="16" spans="1:8" ht="77.5" x14ac:dyDescent="0.35">
      <c r="A16" s="67">
        <v>9</v>
      </c>
      <c r="B16" s="7" t="s">
        <v>40</v>
      </c>
      <c r="C16" s="9" t="s">
        <v>20</v>
      </c>
      <c r="D16" s="29" t="s">
        <v>34</v>
      </c>
      <c r="E16" s="28">
        <v>189</v>
      </c>
      <c r="F16" s="28">
        <v>2500</v>
      </c>
      <c r="G16" s="65">
        <f t="shared" si="0"/>
        <v>472500</v>
      </c>
    </row>
    <row r="17" spans="1:45" ht="62" x14ac:dyDescent="0.35">
      <c r="A17" s="67">
        <v>10</v>
      </c>
      <c r="B17" s="7" t="s">
        <v>41</v>
      </c>
      <c r="C17" s="5" t="s">
        <v>21</v>
      </c>
      <c r="D17" s="29" t="s">
        <v>34</v>
      </c>
      <c r="E17" s="28">
        <v>105</v>
      </c>
      <c r="F17" s="28">
        <v>1650</v>
      </c>
      <c r="G17" s="65">
        <f t="shared" si="0"/>
        <v>173250</v>
      </c>
    </row>
    <row r="18" spans="1:45" ht="77.5" x14ac:dyDescent="0.35">
      <c r="A18" s="67">
        <v>11</v>
      </c>
      <c r="B18" s="3" t="s">
        <v>42</v>
      </c>
      <c r="C18" s="6" t="s">
        <v>22</v>
      </c>
      <c r="D18" s="29" t="s">
        <v>34</v>
      </c>
      <c r="E18" s="28">
        <v>95</v>
      </c>
      <c r="F18" s="28">
        <v>1650</v>
      </c>
      <c r="G18" s="65">
        <f t="shared" si="0"/>
        <v>156750</v>
      </c>
    </row>
    <row r="19" spans="1:45" x14ac:dyDescent="0.35">
      <c r="A19" s="68"/>
      <c r="B19" s="27"/>
      <c r="C19" s="27"/>
      <c r="D19" s="37"/>
      <c r="E19" s="27"/>
      <c r="F19" s="27"/>
      <c r="G19" s="69"/>
    </row>
    <row r="20" spans="1:45" ht="31" customHeight="1" x14ac:dyDescent="0.35">
      <c r="A20" s="68"/>
      <c r="B20" s="98" t="s">
        <v>44</v>
      </c>
      <c r="C20" s="98"/>
      <c r="D20" s="37"/>
      <c r="E20" s="27"/>
      <c r="F20" s="27"/>
      <c r="G20" s="69"/>
    </row>
    <row r="21" spans="1:45" ht="62" x14ac:dyDescent="0.35">
      <c r="A21" s="67">
        <v>1</v>
      </c>
      <c r="B21" s="2" t="s">
        <v>26</v>
      </c>
      <c r="C21" s="1" t="s">
        <v>24</v>
      </c>
      <c r="D21" s="29" t="s">
        <v>35</v>
      </c>
      <c r="E21" s="28">
        <v>2363</v>
      </c>
      <c r="F21" s="28">
        <v>2000</v>
      </c>
      <c r="G21" s="65">
        <f t="shared" ref="G21:G27" si="1">F21*E21</f>
        <v>4726000</v>
      </c>
    </row>
    <row r="22" spans="1:45" ht="31" x14ac:dyDescent="0.35">
      <c r="A22" s="67">
        <v>2</v>
      </c>
      <c r="B22" s="2" t="s">
        <v>27</v>
      </c>
      <c r="C22" s="1" t="s">
        <v>25</v>
      </c>
      <c r="D22" s="29" t="s">
        <v>35</v>
      </c>
      <c r="E22" s="28">
        <v>586</v>
      </c>
      <c r="F22" s="28">
        <v>2250</v>
      </c>
      <c r="G22" s="65">
        <f t="shared" si="1"/>
        <v>1318500</v>
      </c>
    </row>
    <row r="23" spans="1:45" ht="31" x14ac:dyDescent="0.35">
      <c r="A23" s="67">
        <v>3</v>
      </c>
      <c r="B23" s="2" t="s">
        <v>29</v>
      </c>
      <c r="C23" s="10" t="s">
        <v>28</v>
      </c>
      <c r="D23" s="29" t="s">
        <v>35</v>
      </c>
      <c r="E23" s="28">
        <v>449</v>
      </c>
      <c r="F23" s="28">
        <v>2000</v>
      </c>
      <c r="G23" s="65">
        <f t="shared" si="1"/>
        <v>898000</v>
      </c>
    </row>
    <row r="24" spans="1:45" ht="93" x14ac:dyDescent="0.35">
      <c r="A24" s="67">
        <v>4</v>
      </c>
      <c r="B24" s="2" t="s">
        <v>30</v>
      </c>
      <c r="C24" s="11" t="s">
        <v>31</v>
      </c>
      <c r="D24" s="29" t="s">
        <v>35</v>
      </c>
      <c r="E24" s="28">
        <v>2835</v>
      </c>
      <c r="F24" s="28">
        <v>500</v>
      </c>
      <c r="G24" s="65">
        <f t="shared" si="1"/>
        <v>1417500</v>
      </c>
    </row>
    <row r="25" spans="1:45" ht="93" x14ac:dyDescent="0.35">
      <c r="A25" s="67">
        <v>5</v>
      </c>
      <c r="B25" s="2" t="s">
        <v>32</v>
      </c>
      <c r="C25" s="11" t="s">
        <v>33</v>
      </c>
      <c r="D25" s="29" t="s">
        <v>35</v>
      </c>
      <c r="E25" s="28">
        <v>3308</v>
      </c>
      <c r="F25" s="28">
        <v>500</v>
      </c>
      <c r="G25" s="65">
        <f t="shared" si="1"/>
        <v>1654000</v>
      </c>
    </row>
    <row r="26" spans="1:45" ht="248" x14ac:dyDescent="0.35">
      <c r="A26" s="67">
        <v>6</v>
      </c>
      <c r="B26" s="12" t="s">
        <v>38</v>
      </c>
      <c r="C26" s="8" t="s">
        <v>36</v>
      </c>
      <c r="D26" s="29" t="s">
        <v>35</v>
      </c>
      <c r="E26" s="28">
        <v>5906</v>
      </c>
      <c r="F26" s="28">
        <v>500</v>
      </c>
      <c r="G26" s="65">
        <f t="shared" si="1"/>
        <v>2953000</v>
      </c>
    </row>
    <row r="27" spans="1:45" ht="46.5" x14ac:dyDescent="0.35">
      <c r="A27" s="67">
        <v>7</v>
      </c>
      <c r="B27" s="12" t="s">
        <v>39</v>
      </c>
      <c r="C27" s="8" t="s">
        <v>37</v>
      </c>
      <c r="D27" s="29" t="s">
        <v>35</v>
      </c>
      <c r="E27" s="28">
        <v>473</v>
      </c>
      <c r="F27" s="28">
        <v>2250</v>
      </c>
      <c r="G27" s="65">
        <f t="shared" si="1"/>
        <v>1064250</v>
      </c>
    </row>
    <row r="28" spans="1:45" ht="15.5" x14ac:dyDescent="0.35">
      <c r="A28" s="67"/>
      <c r="B28" s="2"/>
      <c r="C28" s="8"/>
      <c r="D28" s="29"/>
      <c r="E28" s="28"/>
      <c r="F28" s="28"/>
      <c r="G28" s="70"/>
    </row>
    <row r="29" spans="1:45" ht="15.5" x14ac:dyDescent="0.35">
      <c r="A29" s="67"/>
      <c r="B29" s="2"/>
      <c r="C29" s="8"/>
      <c r="D29" s="29"/>
      <c r="E29" s="28"/>
      <c r="F29" s="28"/>
      <c r="G29" s="70"/>
    </row>
    <row r="30" spans="1:45" ht="16" thickBot="1" x14ac:dyDescent="0.4">
      <c r="A30" s="71"/>
      <c r="B30" s="44"/>
      <c r="C30" s="45"/>
      <c r="D30" s="46"/>
      <c r="E30" s="47"/>
      <c r="F30" s="47"/>
      <c r="G30" s="72"/>
    </row>
    <row r="31" spans="1:45" ht="31" customHeight="1" thickBot="1" x14ac:dyDescent="0.4">
      <c r="A31" s="99" t="s">
        <v>45</v>
      </c>
      <c r="B31" s="100"/>
      <c r="C31" s="100"/>
      <c r="D31" s="100"/>
      <c r="E31" s="100"/>
      <c r="F31" s="100"/>
      <c r="G31" s="101"/>
    </row>
    <row r="32" spans="1:45" ht="29" customHeight="1" x14ac:dyDescent="0.35">
      <c r="A32" s="73">
        <v>1</v>
      </c>
      <c r="B32" s="48" t="s">
        <v>49</v>
      </c>
      <c r="C32" s="49" t="s">
        <v>46</v>
      </c>
      <c r="D32" s="50" t="s">
        <v>35</v>
      </c>
      <c r="E32" s="51">
        <v>340</v>
      </c>
      <c r="F32" s="28">
        <v>1750</v>
      </c>
      <c r="G32" s="65">
        <f t="shared" ref="G32:G34" si="2">F32*E32</f>
        <v>595000</v>
      </c>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25">
        <v>340</v>
      </c>
      <c r="AS32" s="26" t="s">
        <v>5</v>
      </c>
    </row>
    <row r="33" spans="1:244" ht="29" customHeight="1" thickBot="1" x14ac:dyDescent="0.4">
      <c r="A33" s="67">
        <v>2</v>
      </c>
      <c r="B33" s="36" t="s">
        <v>50</v>
      </c>
      <c r="C33" s="31" t="s">
        <v>47</v>
      </c>
      <c r="D33" s="29" t="s">
        <v>35</v>
      </c>
      <c r="E33" s="32">
        <v>500</v>
      </c>
      <c r="F33" s="28">
        <v>500</v>
      </c>
      <c r="G33" s="65">
        <f t="shared" si="2"/>
        <v>250000</v>
      </c>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20"/>
      <c r="AP33" s="15"/>
      <c r="AQ33" s="16"/>
      <c r="AR33" s="17">
        <v>500</v>
      </c>
      <c r="AS33" s="18" t="s">
        <v>5</v>
      </c>
    </row>
    <row r="34" spans="1:244" ht="29" customHeight="1" thickBot="1" x14ac:dyDescent="0.4">
      <c r="A34" s="67">
        <v>3</v>
      </c>
      <c r="B34" s="36" t="s">
        <v>48</v>
      </c>
      <c r="C34" s="31" t="s">
        <v>48</v>
      </c>
      <c r="D34" s="29" t="s">
        <v>35</v>
      </c>
      <c r="E34" s="32">
        <v>340</v>
      </c>
      <c r="F34" s="28">
        <v>500</v>
      </c>
      <c r="G34" s="65">
        <f t="shared" si="2"/>
        <v>170000</v>
      </c>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20"/>
      <c r="AP34" s="21"/>
      <c r="AQ34" s="22"/>
      <c r="AR34" s="23">
        <v>340</v>
      </c>
      <c r="AS34" s="24" t="s">
        <v>5</v>
      </c>
    </row>
    <row r="35" spans="1:244" ht="22.5" customHeight="1" x14ac:dyDescent="0.35">
      <c r="A35" s="68"/>
      <c r="B35" s="33"/>
      <c r="C35" s="33"/>
      <c r="D35" s="33"/>
      <c r="E35" s="33"/>
      <c r="F35" s="33"/>
      <c r="G35" s="74"/>
      <c r="J35" s="38"/>
    </row>
    <row r="36" spans="1:244" ht="32" customHeight="1" x14ac:dyDescent="0.35">
      <c r="A36" s="82" t="s">
        <v>59</v>
      </c>
      <c r="B36" s="83"/>
      <c r="C36" s="83"/>
      <c r="D36" s="83"/>
      <c r="E36" s="83"/>
      <c r="F36" s="84"/>
      <c r="G36" s="75">
        <f>SUM(G8:G35)</f>
        <v>30280500</v>
      </c>
    </row>
    <row r="37" spans="1:244" s="56" customFormat="1" ht="274.25" customHeight="1" x14ac:dyDescent="0.35">
      <c r="A37" s="76" t="s">
        <v>58</v>
      </c>
      <c r="B37" s="77"/>
      <c r="C37" s="77"/>
      <c r="D37" s="77"/>
      <c r="E37" s="77"/>
      <c r="F37" s="77"/>
      <c r="G37" s="78"/>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c r="CV37" s="55"/>
      <c r="CW37" s="55"/>
      <c r="CX37" s="55"/>
      <c r="CY37" s="55"/>
      <c r="CZ37" s="55"/>
      <c r="DA37" s="55"/>
      <c r="DB37" s="55"/>
      <c r="DC37" s="55"/>
      <c r="DD37" s="55"/>
      <c r="DE37" s="55"/>
      <c r="DF37" s="55"/>
      <c r="DG37" s="55"/>
      <c r="DH37" s="55"/>
      <c r="DI37" s="55"/>
      <c r="DJ37" s="55"/>
      <c r="DK37" s="55"/>
      <c r="DL37" s="55"/>
      <c r="DM37" s="55"/>
      <c r="DN37" s="55"/>
      <c r="DO37" s="55"/>
      <c r="DP37" s="55"/>
      <c r="DQ37" s="55"/>
      <c r="DR37" s="55"/>
      <c r="DS37" s="55"/>
      <c r="DT37" s="55"/>
      <c r="DU37" s="55"/>
      <c r="DV37" s="55"/>
      <c r="DW37" s="55"/>
      <c r="DX37" s="55"/>
      <c r="DY37" s="55"/>
      <c r="DZ37" s="55"/>
      <c r="EA37" s="55"/>
      <c r="EB37" s="55"/>
      <c r="EC37" s="55"/>
      <c r="ED37" s="55"/>
      <c r="EE37" s="55"/>
      <c r="EF37" s="55"/>
      <c r="EG37" s="55"/>
      <c r="EH37" s="55"/>
      <c r="EI37" s="55"/>
      <c r="EJ37" s="55"/>
      <c r="EK37" s="55"/>
      <c r="EL37" s="55"/>
      <c r="EM37" s="55"/>
      <c r="EN37" s="55"/>
      <c r="EO37" s="55"/>
      <c r="EP37" s="55"/>
      <c r="EQ37" s="55"/>
      <c r="ER37" s="55"/>
      <c r="ES37" s="55"/>
      <c r="ET37" s="55"/>
      <c r="EU37" s="55"/>
      <c r="EV37" s="55"/>
      <c r="EW37" s="55"/>
      <c r="EX37" s="55"/>
      <c r="EY37" s="55"/>
      <c r="EZ37" s="55"/>
      <c r="FA37" s="55"/>
      <c r="FB37" s="55"/>
      <c r="FC37" s="55"/>
      <c r="FD37" s="55"/>
      <c r="FE37" s="55"/>
      <c r="FF37" s="55"/>
      <c r="FG37" s="55"/>
      <c r="FH37" s="55"/>
      <c r="FI37" s="55"/>
      <c r="FJ37" s="55"/>
      <c r="FK37" s="55"/>
      <c r="FL37" s="55"/>
      <c r="FM37" s="55"/>
      <c r="FN37" s="55"/>
      <c r="FO37" s="55"/>
      <c r="FP37" s="55"/>
      <c r="FQ37" s="55"/>
      <c r="FR37" s="55"/>
      <c r="FS37" s="55"/>
      <c r="FT37" s="55"/>
      <c r="FU37" s="55"/>
      <c r="FV37" s="55"/>
      <c r="FW37" s="55"/>
      <c r="FX37" s="55"/>
      <c r="FY37" s="55"/>
      <c r="FZ37" s="55"/>
      <c r="GA37" s="55"/>
      <c r="GB37" s="55"/>
      <c r="GC37" s="55"/>
      <c r="GD37" s="55"/>
      <c r="GE37" s="55"/>
      <c r="GF37" s="55"/>
      <c r="GG37" s="55"/>
      <c r="GH37" s="55"/>
      <c r="GI37" s="55"/>
      <c r="GJ37" s="55"/>
      <c r="GK37" s="55"/>
      <c r="GL37" s="55"/>
      <c r="GM37" s="55"/>
      <c r="GN37" s="55"/>
      <c r="GO37" s="55"/>
      <c r="GP37" s="55"/>
      <c r="GQ37" s="55"/>
      <c r="GR37" s="55"/>
      <c r="GS37" s="55"/>
      <c r="GT37" s="55"/>
      <c r="GU37" s="55"/>
      <c r="GV37" s="55"/>
      <c r="GW37" s="55"/>
      <c r="GX37" s="55"/>
      <c r="GY37" s="55"/>
      <c r="GZ37" s="55"/>
      <c r="HA37" s="55"/>
      <c r="HB37" s="55"/>
      <c r="HC37" s="55"/>
      <c r="HD37" s="55"/>
      <c r="HE37" s="55"/>
      <c r="HF37" s="55"/>
      <c r="HG37" s="55"/>
      <c r="HH37" s="55"/>
      <c r="HI37" s="55"/>
      <c r="HJ37" s="55"/>
      <c r="HK37" s="55"/>
      <c r="HL37" s="55"/>
      <c r="HM37" s="55"/>
      <c r="HN37" s="55"/>
      <c r="HO37" s="55"/>
      <c r="HP37" s="55"/>
      <c r="HQ37" s="55"/>
      <c r="HR37" s="55"/>
      <c r="HS37" s="55"/>
      <c r="HT37" s="55"/>
      <c r="HU37" s="55"/>
      <c r="HV37" s="55"/>
      <c r="HW37" s="55"/>
      <c r="HX37" s="55"/>
      <c r="HY37" s="55"/>
      <c r="HZ37" s="55"/>
      <c r="IA37" s="55"/>
      <c r="IB37" s="55"/>
      <c r="IC37" s="55"/>
      <c r="ID37" s="55"/>
      <c r="IE37" s="55"/>
      <c r="IF37" s="55"/>
      <c r="IG37" s="55"/>
      <c r="IH37" s="55"/>
      <c r="II37" s="55"/>
      <c r="IJ37" s="55"/>
    </row>
    <row r="38" spans="1:244" s="56" customFormat="1" ht="28.75" customHeight="1" thickBot="1" x14ac:dyDescent="0.4">
      <c r="A38" s="79" t="s">
        <v>57</v>
      </c>
      <c r="B38" s="80"/>
      <c r="C38" s="80"/>
      <c r="D38" s="80"/>
      <c r="E38" s="80"/>
      <c r="F38" s="80"/>
      <c r="G38" s="81"/>
      <c r="H38"/>
      <c r="I38"/>
      <c r="J38"/>
      <c r="K38"/>
      <c r="L38"/>
      <c r="M38"/>
      <c r="N38"/>
      <c r="O38"/>
      <c r="P38"/>
      <c r="Q38"/>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55"/>
      <c r="CV38" s="55"/>
      <c r="CW38" s="55"/>
      <c r="CX38" s="55"/>
      <c r="CY38" s="55"/>
      <c r="CZ38" s="55"/>
      <c r="DA38" s="55"/>
      <c r="DB38" s="55"/>
      <c r="DC38" s="55"/>
      <c r="DD38" s="55"/>
      <c r="DE38" s="55"/>
      <c r="DF38" s="55"/>
      <c r="DG38" s="55"/>
      <c r="DH38" s="55"/>
      <c r="DI38" s="55"/>
      <c r="DJ38" s="55"/>
      <c r="DK38" s="55"/>
      <c r="DL38" s="55"/>
      <c r="DM38" s="55"/>
      <c r="DN38" s="55"/>
      <c r="DO38" s="55"/>
      <c r="DP38" s="55"/>
      <c r="DQ38" s="55"/>
      <c r="DR38" s="55"/>
      <c r="DS38" s="55"/>
      <c r="DT38" s="55"/>
      <c r="DU38" s="55"/>
      <c r="DV38" s="55"/>
      <c r="DW38" s="55"/>
      <c r="DX38" s="55"/>
      <c r="DY38" s="55"/>
      <c r="DZ38" s="55"/>
      <c r="EA38" s="55"/>
      <c r="EB38" s="55"/>
      <c r="EC38" s="55"/>
      <c r="ED38" s="55"/>
      <c r="EE38" s="55"/>
      <c r="EF38" s="55"/>
      <c r="EG38" s="55"/>
      <c r="EH38" s="55"/>
      <c r="EI38" s="55"/>
      <c r="EJ38" s="55"/>
      <c r="EK38" s="55"/>
      <c r="EL38" s="55"/>
      <c r="EM38" s="55"/>
      <c r="EN38" s="55"/>
      <c r="EO38" s="55"/>
      <c r="EP38" s="55"/>
      <c r="EQ38" s="55"/>
      <c r="ER38" s="55"/>
      <c r="ES38" s="55"/>
      <c r="ET38" s="55"/>
      <c r="EU38" s="55"/>
      <c r="EV38" s="55"/>
      <c r="EW38" s="55"/>
      <c r="EX38" s="55"/>
      <c r="EY38" s="55"/>
      <c r="EZ38" s="55"/>
      <c r="FA38" s="55"/>
      <c r="FB38" s="55"/>
      <c r="FC38" s="55"/>
      <c r="FD38" s="55"/>
      <c r="FE38" s="55"/>
      <c r="FF38" s="55"/>
      <c r="FG38" s="55"/>
      <c r="FH38" s="55"/>
      <c r="FI38" s="55"/>
      <c r="FJ38" s="55"/>
      <c r="FK38" s="55"/>
      <c r="FL38" s="55"/>
      <c r="FM38" s="55"/>
      <c r="FN38" s="55"/>
      <c r="FO38" s="55"/>
      <c r="FP38" s="55"/>
      <c r="FQ38" s="55"/>
      <c r="FR38" s="55"/>
      <c r="FS38" s="55"/>
      <c r="FT38" s="55"/>
      <c r="FU38" s="55"/>
      <c r="FV38" s="55"/>
      <c r="FW38" s="55"/>
      <c r="FX38" s="55"/>
      <c r="FY38" s="55"/>
      <c r="FZ38" s="55"/>
      <c r="GA38" s="55"/>
      <c r="GB38" s="55"/>
      <c r="GC38" s="55"/>
      <c r="GD38" s="55"/>
      <c r="GE38" s="55"/>
      <c r="GF38" s="55"/>
      <c r="GG38" s="55"/>
      <c r="GH38" s="55"/>
      <c r="GI38" s="55"/>
      <c r="GJ38" s="55"/>
      <c r="GK38" s="55"/>
      <c r="GL38" s="55"/>
      <c r="GM38" s="55"/>
      <c r="GN38" s="55"/>
      <c r="GO38" s="55"/>
      <c r="GP38" s="55"/>
      <c r="GQ38" s="55"/>
      <c r="GR38" s="55"/>
      <c r="GS38" s="55"/>
      <c r="GT38" s="55"/>
      <c r="GU38" s="55"/>
      <c r="GV38" s="55"/>
      <c r="GW38" s="55"/>
      <c r="GX38" s="55"/>
      <c r="GY38" s="55"/>
      <c r="GZ38" s="55"/>
      <c r="HA38" s="55"/>
      <c r="HB38" s="55"/>
      <c r="HC38" s="55"/>
      <c r="HD38" s="55"/>
      <c r="HE38" s="55"/>
      <c r="HF38" s="55"/>
      <c r="HG38" s="55"/>
      <c r="HH38" s="55"/>
      <c r="HI38" s="55"/>
      <c r="HJ38" s="55"/>
      <c r="HK38" s="55"/>
      <c r="HL38" s="55"/>
      <c r="HM38" s="55"/>
      <c r="HN38" s="55"/>
      <c r="HO38" s="55"/>
      <c r="HP38" s="55"/>
      <c r="HQ38" s="55"/>
      <c r="HR38" s="55"/>
      <c r="HS38" s="55"/>
      <c r="HT38" s="55"/>
      <c r="HU38" s="55"/>
      <c r="HV38" s="55"/>
      <c r="HW38" s="55"/>
      <c r="HX38" s="55"/>
      <c r="HY38" s="55"/>
      <c r="HZ38" s="55"/>
      <c r="IA38" s="55"/>
      <c r="IB38" s="55"/>
      <c r="IC38" s="55"/>
      <c r="ID38" s="55"/>
      <c r="IE38" s="55"/>
      <c r="IF38" s="55"/>
      <c r="IG38" s="55"/>
      <c r="IH38" s="55"/>
      <c r="II38" s="55"/>
      <c r="IJ38" s="55"/>
    </row>
    <row r="39" spans="1:244" s="59" customFormat="1" x14ac:dyDescent="0.35">
      <c r="A39" s="57"/>
      <c r="B39" s="58"/>
      <c r="C39" s="57"/>
      <c r="D39" s="57"/>
      <c r="E39" s="57"/>
      <c r="F39" s="57"/>
    </row>
  </sheetData>
  <mergeCells count="10">
    <mergeCell ref="A37:G37"/>
    <mergeCell ref="A38:G38"/>
    <mergeCell ref="A36:F36"/>
    <mergeCell ref="A1:G1"/>
    <mergeCell ref="A2:G2"/>
    <mergeCell ref="B3:G3"/>
    <mergeCell ref="A4:G4"/>
    <mergeCell ref="B7:C7"/>
    <mergeCell ref="B20:C20"/>
    <mergeCell ref="A31:G31"/>
  </mergeCells>
  <conditionalFormatting sqref="B8:B18">
    <cfRule type="notContainsBlanks" dxfId="1" priority="3">
      <formula>LEN(TRIM(B8))&gt;0</formula>
    </cfRule>
  </conditionalFormatting>
  <conditionalFormatting sqref="B21:B25">
    <cfRule type="notContainsBlanks" dxfId="0" priority="1">
      <formula>LEN(TRIM(B21))&gt;0</formula>
    </cfRule>
  </conditionalFormatting>
  <pageMargins left="0.27559055118110237" right="0.27559055118110237" top="0.31496062992125984" bottom="0.27559055118110237" header="0.19685039370078741" footer="0.11811023622047245"/>
  <pageSetup scale="84" fitToHeight="100" orientation="portrait" r:id="rId1"/>
  <rowBreaks count="1" manualBreakCount="1">
    <brk id="19" max="6" man="1"/>
  </rowBreaks>
  <colBreaks count="1" manualBreakCount="1">
    <brk id="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Wet Works  (2)</vt:lpstr>
      <vt:lpstr>'Wet Works  (2)'!Print_Area</vt:lpstr>
      <vt:lpstr>'Wet Works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ALI</dc:creator>
  <cp:lastModifiedBy>MOHAMMED ALI</cp:lastModifiedBy>
  <cp:lastPrinted>2026-09-14T03:39:57Z</cp:lastPrinted>
  <dcterms:created xsi:type="dcterms:W3CDTF">2015-06-05T18:17:20Z</dcterms:created>
  <dcterms:modified xsi:type="dcterms:W3CDTF">2026-10-14T05:18:04Z</dcterms:modified>
</cp:coreProperties>
</file>