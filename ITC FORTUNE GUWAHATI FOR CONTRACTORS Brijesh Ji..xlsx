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Schedule I.evo\Guwahati\Wet Works\Contractors\New folder\"/>
    </mc:Choice>
  </mc:AlternateContent>
  <xr:revisionPtr revIDLastSave="0" documentId="13_ncr:1_{C48AC31E-4A5D-4024-A732-08CD71735F5B}" xr6:coauthVersionLast="47" xr6:coauthVersionMax="47" xr10:uidLastSave="{00000000-0000-0000-0000-000000000000}"/>
  <bookViews>
    <workbookView xWindow="-110" yWindow="-110" windowWidth="19420" windowHeight="10420" xr2:uid="{00000000-000D-0000-FFFF-FFFF00000000}"/>
  </bookViews>
  <sheets>
    <sheet name="Wet Works  (2)" sheetId="2" r:id="rId1"/>
  </sheets>
  <definedNames>
    <definedName name="_xlnm.Print_Area" localSheetId="0">'Wet Works  (2)'!$A$1:$K$45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2" l="1"/>
  <c r="I32" i="2"/>
  <c r="I31" i="2"/>
  <c r="I30" i="2"/>
  <c r="I25" i="2"/>
  <c r="I24" i="2"/>
  <c r="I23" i="2"/>
  <c r="I22" i="2"/>
  <c r="I21" i="2"/>
  <c r="I20" i="2"/>
  <c r="I19" i="2"/>
  <c r="I16" i="2"/>
  <c r="I15" i="2"/>
  <c r="I14" i="2"/>
  <c r="I12" i="2"/>
  <c r="I11" i="2"/>
  <c r="I10" i="2"/>
  <c r="I9" i="2"/>
  <c r="I8" i="2"/>
  <c r="I5" i="2"/>
  <c r="J32" i="2"/>
  <c r="J31" i="2"/>
  <c r="J30" i="2"/>
  <c r="J25" i="2"/>
  <c r="J24" i="2"/>
  <c r="J23" i="2"/>
  <c r="J22" i="2"/>
  <c r="J21" i="2"/>
  <c r="J20" i="2"/>
  <c r="J19" i="2"/>
  <c r="J10" i="2"/>
  <c r="J11" i="2"/>
  <c r="J12" i="2"/>
  <c r="J13" i="2"/>
  <c r="J14" i="2"/>
  <c r="J15" i="2"/>
  <c r="J16" i="2"/>
  <c r="J9" i="2"/>
  <c r="J8" i="2"/>
  <c r="J5" i="2"/>
  <c r="J34" i="2" l="1"/>
  <c r="K13" i="2" l="1"/>
  <c r="K25" i="2"/>
  <c r="K24" i="2"/>
  <c r="K23" i="2"/>
  <c r="K22" i="2"/>
  <c r="K21" i="2"/>
  <c r="K20" i="2"/>
  <c r="K19" i="2"/>
  <c r="K16" i="2"/>
  <c r="K15" i="2"/>
  <c r="K14" i="2"/>
  <c r="K12" i="2"/>
  <c r="K11" i="2"/>
  <c r="K10" i="2"/>
  <c r="K9" i="2"/>
  <c r="K8" i="2"/>
  <c r="K5" i="2"/>
  <c r="K31" i="2"/>
  <c r="K32" i="2"/>
  <c r="K33" i="2"/>
  <c r="K30" i="2"/>
  <c r="K34" i="2" l="1"/>
</calcChain>
</file>

<file path=xl/sharedStrings.xml><?xml version="1.0" encoding="utf-8"?>
<sst xmlns="http://schemas.openxmlformats.org/spreadsheetml/2006/main" count="90" uniqueCount="60">
  <si>
    <t>Sr.No</t>
  </si>
  <si>
    <t xml:space="preserve">Description </t>
  </si>
  <si>
    <t>Unit</t>
  </si>
  <si>
    <t>Rate</t>
  </si>
  <si>
    <t>Amount</t>
  </si>
  <si>
    <t>Providing and laying 8mm waste tiles over cement mortar, to make plain levelled base of SPC flooring. (Basic Rate of waste tiles - Rs.15/- per Sqft)</t>
  </si>
  <si>
    <t>sqm</t>
  </si>
  <si>
    <t>Receiving and fixing in position 6mm thick WTL-01 flooring (Spc Flooring) as per detail in drg. No. -.</t>
  </si>
  <si>
    <t>Same as above 1b, but 100mm Skirting of WTL-01 (Spc Flooring) fixed by adhesive pasting, as per drg No. -.</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</si>
  <si>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</si>
  <si>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Room Flooring</t>
  </si>
  <si>
    <t>Toilet Flooring</t>
  </si>
  <si>
    <t>Toilet Walls</t>
  </si>
  <si>
    <t>SPC Flooring</t>
  </si>
  <si>
    <t>SPC Skirting</t>
  </si>
  <si>
    <t>Same as above 2a, but TL-01 tile (600mm x 600mm) tile cladding on wall including making base and fixing with required thickness of laticrete adhesive. (refer drg no -)</t>
  </si>
  <si>
    <t>Same as above 2a, but TL-03 tile (600mm x 600mm) flooring as per detail in drg No. -.</t>
  </si>
  <si>
    <t>Flooring</t>
  </si>
  <si>
    <t>Final Intronote</t>
  </si>
  <si>
    <t>Same as above 2d, but 100mm high Skirting of TL-03 tile as per drg No. -. It shall be fixed with 20-40mm average thickness of cement mortar of 1: 4 ( 1 Cement : 4 Coarse Sand).</t>
  </si>
  <si>
    <t>Receiving and fixing in position 1880mm x 160mm x 17mm Diamond polished  ST-01 marble between room &amp; balcony flushed with WTL-01 flooring, treated with antistain sealer on all sides) threshold as per detail in drg No. -. The job shall also include cutting slot for fixing glass.</t>
  </si>
  <si>
    <t xml:space="preserve">Providing &amp; fixing in position shower ledge of 1640mmx50mmx50mm diamond polished  ST-01 marble as per detail in drg no -
</t>
  </si>
  <si>
    <t xml:space="preserve">Providing &amp; fixing in position ST-01 marble over wc ledge as per detail in drg no-.
</t>
  </si>
  <si>
    <t>Receiving and fixing in position Diamond polished  ST-01 marble threshold between vestibule &amp; toilet flushed with TL-01 flooring, treated with antistain sealer on all sides) threshold as per detail in drg No. -. The job shall also include cutting slot for fixing glass.</t>
  </si>
  <si>
    <t>Civil Works</t>
  </si>
  <si>
    <t>mr Board- false ceiling in bathroom</t>
  </si>
  <si>
    <t>Room GYPSUM Ceiling</t>
  </si>
  <si>
    <t>TOILET GYPSUM Ceiling</t>
  </si>
  <si>
    <t>This got changed into Gypsum Ceiling, so rate got decreased.</t>
  </si>
  <si>
    <t>TOILET GYPSUM Ceiling Vestibule</t>
  </si>
  <si>
    <t>37. Emulsion Paint - PT 01 over walls</t>
  </si>
  <si>
    <r>
      <t xml:space="preserve">Providing and doing two coat of premium emulsion paint </t>
    </r>
    <r>
      <rPr>
        <b/>
        <sz val="12"/>
        <color rgb="FFFF0000"/>
        <rFont val="Calibri Light"/>
        <family val="2"/>
        <scheme val="major"/>
      </rPr>
      <t>over walls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</si>
  <si>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38. Emulsion Paint - PT 01 over Ceiling</t>
  </si>
  <si>
    <r>
      <t xml:space="preserve">Providing and doing two coat of premium emulsion paint </t>
    </r>
    <r>
      <rPr>
        <b/>
        <sz val="12"/>
        <color rgb="FFFF0000"/>
        <rFont val="Calibri Light"/>
        <family val="2"/>
        <scheme val="major"/>
      </rPr>
      <t>over room ceiling and toilet ceiling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</si>
  <si>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RMT</t>
  </si>
  <si>
    <t>SQMT</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</si>
  <si>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</si>
  <si>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Providing and laying 12mm Gypsum board panelling as per drg No. -. The job shall be done as per Gypsum India specification .</t>
  </si>
  <si>
    <t>41. POP Punning</t>
  </si>
  <si>
    <t>42. Gypsum panelling</t>
  </si>
  <si>
    <t>Shower Ledge</t>
  </si>
  <si>
    <t>Wc Ledge</t>
  </si>
  <si>
    <t xml:space="preserve">Threshold </t>
  </si>
  <si>
    <t>Quantity</t>
  </si>
  <si>
    <t>Gypsum &amp; Pop Punning and Paint work</t>
  </si>
  <si>
    <t>Additional Items for Balcony</t>
  </si>
  <si>
    <t>Tile Flooring in Balcony Floor</t>
  </si>
  <si>
    <t>Paint on Side walls</t>
  </si>
  <si>
    <t>Paint on Ceiling</t>
  </si>
  <si>
    <t>Floor Tile</t>
  </si>
  <si>
    <t>Paint on wall</t>
  </si>
  <si>
    <t xml:space="preserve">ITC FORTUNE GUWAHATI </t>
  </si>
  <si>
    <t>Grand Total</t>
  </si>
  <si>
    <r>
      <t xml:space="preserve">Providing and fixing in position gypsum false ceiling over G.I. metal frame work of appd. quality and wiremesh as per detail in drg No. </t>
    </r>
    <r>
      <rPr>
        <u/>
        <sz val="12"/>
        <rFont val="Calibri Light"/>
        <family val="2"/>
        <scheme val="major"/>
      </rPr>
      <t xml:space="preserve">- </t>
    </r>
    <r>
      <rPr>
        <b/>
        <u/>
        <sz val="12"/>
        <color rgb="FFFF0000"/>
        <rFont val="Calibri Light"/>
        <family val="2"/>
        <scheme val="major"/>
      </rPr>
      <t>Including Mouliding</t>
    </r>
    <r>
      <rPr>
        <sz val="12"/>
        <rFont val="Calibri Light"/>
        <family val="2"/>
        <scheme val="major"/>
      </rPr>
      <t xml:space="preserve">
and all related sections and elevations. ( Expert Channel &amp; Board Gyproc }</t>
    </r>
  </si>
  <si>
    <t>Houskeeping</t>
  </si>
  <si>
    <t>Include</t>
  </si>
  <si>
    <t>Acomodation ( if Site it is on Site )</t>
  </si>
  <si>
    <t xml:space="preserve">Electricity and water Supply </t>
  </si>
  <si>
    <t>by Client</t>
  </si>
  <si>
    <t xml:space="preserve">Supervisor 1 and 1 Project Manager ( 1 Billing will come and go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</si>
</sst>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 #,##0.00_ ;_ * \-#,##0.00_ ;_ * &quot;-&quot;??_ ;_ @_ "/>
    <numFmt numFmtId="166" formatCode="_ [$₹-439]* #,##0.00_ ;_ [$₹-439]* \-#,##0.00_ ;_ [$₹-439]* &quot;-&quot;??_ ;_ @_ "/>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2"/>
      <name val="Calibri Light"/>
      <family val="2"/>
      <scheme val="major"/>
    </font>
    <font>
      <b/>
      <sz val="12"/>
      <name val="Calibri Light"/>
      <family val="2"/>
      <scheme val="major"/>
    </font>
    <font>
      <b/>
      <sz val="12"/>
      <name val="Calibri"/>
      <family val="2"/>
      <scheme val="minor"/>
    </font>
    <font>
      <sz val="12"/>
      <name val="Calibri"/>
      <family val="2"/>
      <scheme val="minor"/>
    </font>
    <font>
      <b/>
      <sz val="12"/>
      <color theme="1"/>
      <name val="Calibri"/>
      <family val="2"/>
      <scheme val="minor"/>
    </font>
    <font>
      <b/>
      <sz val="12"/>
      <color rgb="FFFF0000"/>
      <name val="Calibri Light"/>
      <family val="2"/>
      <scheme val="major"/>
    </font>
    <font>
      <sz val="11"/>
      <name val="Calibri"/>
      <family val="2"/>
      <scheme val="minor"/>
    </font>
    <font>
      <b/>
      <sz val="18"/>
      <color theme="1"/>
      <name val="Calibri"/>
      <family val="2"/>
      <scheme val="minor"/>
    </font>
    <font>
      <b/>
      <sz val="14"/>
      <color theme="1"/>
      <name val="Calibri"/>
      <family val="2"/>
      <scheme val="minor"/>
    </font>
    <font>
      <u/>
      <sz val="12"/>
      <name val="Calibri Light"/>
      <family val="2"/>
      <scheme val="major"/>
    </font>
    <font>
      <b/>
      <u/>
      <sz val="12"/>
      <color rgb="FFFF0000"/>
      <name val="Calibri Light"/>
      <family val="2"/>
      <scheme val="major"/>
    </font>
    <font>
      <sz val="11"/>
      <color rgb="FFFF0000"/>
      <name val="Calibri"/>
      <family val="2"/>
      <scheme val="minor"/>
    </font>
    <font>
      <b/>
      <sz val="12"/>
      <color theme="1"/>
      <name val="Calibri Light"/>
      <family val="2"/>
      <scheme val="major"/>
    </font>
  </fonts>
  <fills count="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FFFF"/>
        <bgColor rgb="FFFFFFFF"/>
      </patternFill>
    </fill>
    <fill>
      <patternFill patternType="solid">
        <fgColor theme="5" tint="0.59999389629810485"/>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5" fontId="1" fillId="0" borderId="0" applyFont="0" applyFill="0" applyBorder="0" applyAlignment="0" applyProtection="0"/>
  </cellStyleXfs>
  <cellXfs count="90">
    <xf numFmtId="0" fontId="0" fillId="0" borderId="0" xfId="0"/>
    <xf numFmtId="0" fontId="3" fillId="3" borderId="1" xfId="1" applyFont="1" applyFill="1" applyBorder="1" applyAlignment="1">
      <alignment horizontal="left" vertical="top" wrapText="1"/>
    </xf>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3" borderId="1" xfId="1" applyFont="1" applyFill="1" applyBorder="1" applyAlignment="1">
      <alignment horizontal="left" vertical="top" wrapText="1"/>
    </xf>
    <xf numFmtId="0" fontId="6" fillId="0" borderId="1" xfId="1" applyFont="1" applyBorder="1" applyAlignment="1">
      <alignment horizontal="left" vertical="top" wrapText="1"/>
    </xf>
    <xf numFmtId="0" fontId="6" fillId="4" borderId="1" xfId="1" applyFont="1" applyFill="1" applyBorder="1" applyAlignment="1">
      <alignment horizontal="left" vertical="top" wrapText="1"/>
    </xf>
    <xf numFmtId="0" fontId="5" fillId="3" borderId="1" xfId="1" applyFont="1" applyFill="1" applyBorder="1" applyAlignment="1">
      <alignment horizontal="center" vertical="center"/>
    </xf>
    <xf numFmtId="0" fontId="3" fillId="0" borderId="1" xfId="1" applyFont="1" applyBorder="1" applyAlignment="1">
      <alignment vertical="top" wrapText="1"/>
    </xf>
    <xf numFmtId="0" fontId="6" fillId="0" borderId="1" xfId="1" applyFont="1" applyBorder="1" applyAlignment="1">
      <alignment horizontal="left" vertical="center" wrapText="1"/>
    </xf>
    <xf numFmtId="0" fontId="3" fillId="3" borderId="1" xfId="1" applyFont="1" applyFill="1" applyBorder="1" applyAlignment="1">
      <alignment horizontal="left" vertical="center" wrapText="1"/>
    </xf>
    <xf numFmtId="0" fontId="3" fillId="3" borderId="1" xfId="1" applyFont="1" applyFill="1" applyBorder="1" applyAlignment="1">
      <alignment vertical="top" wrapText="1"/>
    </xf>
    <xf numFmtId="0" fontId="4" fillId="5" borderId="1" xfId="1" applyFont="1" applyFill="1" applyBorder="1" applyAlignment="1">
      <alignment horizontal="center" vertical="center" wrapText="1"/>
    </xf>
    <xf numFmtId="0" fontId="6" fillId="3" borderId="1" xfId="1" applyFont="1" applyFill="1" applyBorder="1" applyAlignment="1">
      <alignment horizontal="left" vertical="center" wrapText="1"/>
    </xf>
    <xf numFmtId="0" fontId="9" fillId="0" borderId="1" xfId="1"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2" borderId="5" xfId="0" applyFont="1" applyFill="1" applyBorder="1" applyAlignment="1">
      <alignment horizontal="center" vertical="center" wrapText="1"/>
    </xf>
    <xf numFmtId="164" fontId="2" fillId="0" borderId="5" xfId="0" applyNumberFormat="1" applyFont="1"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2" fillId="2" borderId="8" xfId="0" applyFont="1" applyFill="1" applyBorder="1" applyAlignment="1">
      <alignment horizontal="center" vertical="center" wrapText="1"/>
    </xf>
    <xf numFmtId="164" fontId="2" fillId="0" borderId="8" xfId="0" applyNumberFormat="1" applyFont="1" applyBorder="1" applyAlignment="1">
      <alignment horizontal="center" vertical="center" wrapText="1"/>
    </xf>
    <xf numFmtId="0" fontId="2" fillId="2"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0" borderId="1" xfId="0" applyBorder="1"/>
    <xf numFmtId="0" fontId="0" fillId="3" borderId="1" xfId="0" applyFill="1" applyBorder="1" applyAlignment="1">
      <alignment horizontal="center" vertical="center"/>
    </xf>
    <xf numFmtId="0" fontId="9" fillId="3" borderId="1" xfId="1" applyFont="1" applyFill="1" applyBorder="1" applyAlignment="1">
      <alignment horizontal="center" vertical="center" wrapText="1"/>
    </xf>
    <xf numFmtId="0" fontId="0" fillId="3" borderId="1" xfId="0" applyFill="1" applyBorder="1" applyAlignment="1">
      <alignment horizontal="center"/>
    </xf>
    <xf numFmtId="0" fontId="0" fillId="3" borderId="1" xfId="0" applyFill="1" applyBorder="1" applyAlignment="1">
      <alignment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0" fillId="0" borderId="13" xfId="0" applyBorder="1"/>
    <xf numFmtId="0" fontId="2" fillId="0" borderId="9" xfId="0" applyFont="1" applyBorder="1" applyAlignment="1">
      <alignment horizontal="center" vertical="center"/>
    </xf>
    <xf numFmtId="0" fontId="2" fillId="5" borderId="1" xfId="0" applyFont="1" applyFill="1" applyBorder="1" applyAlignment="1">
      <alignment horizontal="center" vertical="center"/>
    </xf>
    <xf numFmtId="0" fontId="1" fillId="0" borderId="1" xfId="0" applyFont="1" applyBorder="1"/>
    <xf numFmtId="0" fontId="0" fillId="0" borderId="7" xfId="0" applyBorder="1"/>
    <xf numFmtId="0" fontId="0" fillId="0" borderId="2" xfId="0" applyBorder="1"/>
    <xf numFmtId="0" fontId="0" fillId="0" borderId="14" xfId="0" applyBorder="1"/>
    <xf numFmtId="0" fontId="0" fillId="0" borderId="14" xfId="0" applyBorder="1" applyAlignment="1">
      <alignment wrapText="1"/>
    </xf>
    <xf numFmtId="0" fontId="7" fillId="3" borderId="13" xfId="1" applyFont="1" applyFill="1" applyBorder="1" applyAlignment="1">
      <alignment horizontal="center" vertical="center" wrapText="1"/>
    </xf>
    <xf numFmtId="0" fontId="6" fillId="3" borderId="13" xfId="1" applyFont="1" applyFill="1" applyBorder="1" applyAlignment="1">
      <alignment horizontal="left" vertical="center" wrapText="1"/>
    </xf>
    <xf numFmtId="0" fontId="4" fillId="3" borderId="15" xfId="1" applyFont="1" applyFill="1" applyBorder="1" applyAlignment="1">
      <alignment horizontal="center" vertical="center" wrapText="1"/>
    </xf>
    <xf numFmtId="0" fontId="3" fillId="0" borderId="15" xfId="1" applyFont="1" applyBorder="1" applyAlignment="1">
      <alignment vertical="top" wrapText="1"/>
    </xf>
    <xf numFmtId="0" fontId="9" fillId="3" borderId="15" xfId="1" applyFont="1" applyFill="1" applyBorder="1" applyAlignment="1">
      <alignment horizontal="center" vertical="center" wrapText="1"/>
    </xf>
    <xf numFmtId="0" fontId="0" fillId="3" borderId="15" xfId="0" applyFill="1" applyBorder="1" applyAlignment="1">
      <alignment horizontal="center" vertical="center"/>
    </xf>
    <xf numFmtId="0" fontId="2" fillId="5" borderId="13" xfId="0" applyFont="1" applyFill="1" applyBorder="1" applyAlignment="1">
      <alignment horizontal="center" vertical="center"/>
    </xf>
    <xf numFmtId="0" fontId="1" fillId="3" borderId="13" xfId="0" applyFont="1" applyFill="1" applyBorder="1" applyAlignment="1">
      <alignment horizontal="center" vertical="center" wrapText="1"/>
    </xf>
    <xf numFmtId="0" fontId="9" fillId="3" borderId="13" xfId="1" applyFont="1" applyFill="1" applyBorder="1" applyAlignment="1">
      <alignment horizontal="center" vertical="center" wrapText="1"/>
    </xf>
    <xf numFmtId="0" fontId="2" fillId="3" borderId="13" xfId="0" applyFont="1" applyFill="1" applyBorder="1" applyAlignment="1">
      <alignment horizontal="center" vertical="center" wrapText="1"/>
    </xf>
    <xf numFmtId="0" fontId="0" fillId="0" borderId="15" xfId="0" applyBorder="1" applyAlignment="1">
      <alignment horizontal="center" vertical="center"/>
    </xf>
    <xf numFmtId="0" fontId="0" fillId="0" borderId="13" xfId="0" applyBorder="1" applyAlignment="1">
      <alignment horizontal="center" vertical="center"/>
    </xf>
    <xf numFmtId="165" fontId="2" fillId="0" borderId="9" xfId="2" applyFont="1" applyBorder="1" applyAlignment="1">
      <alignment horizontal="center" vertical="center"/>
    </xf>
    <xf numFmtId="165" fontId="0" fillId="0" borderId="13" xfId="2" applyFont="1" applyBorder="1"/>
    <xf numFmtId="165" fontId="0" fillId="0" borderId="1" xfId="2" applyFont="1" applyBorder="1"/>
    <xf numFmtId="165" fontId="0" fillId="3" borderId="1" xfId="2" applyFont="1" applyFill="1" applyBorder="1" applyAlignment="1">
      <alignment horizontal="center" vertical="center"/>
    </xf>
    <xf numFmtId="165" fontId="0" fillId="3" borderId="15" xfId="2" applyFont="1" applyFill="1" applyBorder="1" applyAlignment="1">
      <alignment horizontal="center" vertical="center"/>
    </xf>
    <xf numFmtId="165" fontId="11" fillId="5" borderId="1" xfId="2" applyFont="1" applyFill="1" applyBorder="1" applyAlignment="1">
      <alignment horizontal="center" vertical="center"/>
    </xf>
    <xf numFmtId="165" fontId="0" fillId="0" borderId="0" xfId="2" applyFont="1"/>
    <xf numFmtId="1" fontId="2" fillId="0" borderId="9" xfId="0" applyNumberFormat="1" applyFont="1" applyBorder="1" applyAlignment="1">
      <alignment horizontal="center" vertical="center"/>
    </xf>
    <xf numFmtId="1" fontId="0" fillId="0" borderId="13" xfId="0" applyNumberFormat="1" applyBorder="1"/>
    <xf numFmtId="1" fontId="0" fillId="0" borderId="1" xfId="0" applyNumberFormat="1" applyBorder="1"/>
    <xf numFmtId="1" fontId="0" fillId="3" borderId="1" xfId="0" applyNumberFormat="1" applyFill="1" applyBorder="1" applyAlignment="1">
      <alignment horizontal="center" vertical="center"/>
    </xf>
    <xf numFmtId="1" fontId="0" fillId="3" borderId="15" xfId="0" applyNumberFormat="1" applyFill="1" applyBorder="1" applyAlignment="1">
      <alignment horizontal="center" vertical="center"/>
    </xf>
    <xf numFmtId="1" fontId="0" fillId="3" borderId="1" xfId="0" applyNumberFormat="1" applyFill="1" applyBorder="1"/>
    <xf numFmtId="1" fontId="11" fillId="5" borderId="1" xfId="0" applyNumberFormat="1" applyFont="1" applyFill="1" applyBorder="1" applyAlignment="1">
      <alignment horizontal="center" vertical="center"/>
    </xf>
    <xf numFmtId="1" fontId="0" fillId="0" borderId="0" xfId="0" applyNumberFormat="1"/>
    <xf numFmtId="0" fontId="3" fillId="0" borderId="1" xfId="1" applyFont="1" applyBorder="1" applyAlignment="1">
      <alignment vertical="center" wrapText="1"/>
    </xf>
    <xf numFmtId="0" fontId="15" fillId="3" borderId="1" xfId="1" applyFont="1" applyFill="1" applyBorder="1" applyAlignment="1">
      <alignment horizontal="left" vertical="top" wrapText="1"/>
    </xf>
    <xf numFmtId="0" fontId="0" fillId="0" borderId="1" xfId="0" applyBorder="1" applyAlignment="1">
      <alignment vertical="center"/>
    </xf>
    <xf numFmtId="1" fontId="0" fillId="6" borderId="1" xfId="0" applyNumberFormat="1" applyFill="1" applyBorder="1" applyAlignment="1">
      <alignment horizontal="center" vertical="center"/>
    </xf>
    <xf numFmtId="1" fontId="14" fillId="6" borderId="1" xfId="0" applyNumberFormat="1" applyFont="1" applyFill="1" applyBorder="1" applyAlignment="1">
      <alignment horizontal="center" vertical="center"/>
    </xf>
    <xf numFmtId="166" fontId="0" fillId="6" borderId="1" xfId="0" applyNumberFormat="1" applyFill="1" applyBorder="1" applyAlignment="1">
      <alignment horizontal="center" vertic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7" fillId="0" borderId="10" xfId="0" applyFont="1" applyBorder="1" applyAlignment="1">
      <alignment horizontal="left" vertical="center"/>
    </xf>
    <xf numFmtId="0" fontId="7" fillId="0" borderId="12" xfId="0" applyFont="1" applyBorder="1" applyAlignment="1">
      <alignment horizontal="left" vertical="center"/>
    </xf>
    <xf numFmtId="0" fontId="7" fillId="0" borderId="1" xfId="0" applyFont="1" applyBorder="1" applyAlignment="1">
      <alignment horizontal="left" vertical="center"/>
    </xf>
    <xf numFmtId="0" fontId="11" fillId="5"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0" fillId="0" borderId="7" xfId="0" applyBorder="1" applyAlignment="1">
      <alignment horizontal="center"/>
    </xf>
    <xf numFmtId="0" fontId="0" fillId="0" borderId="2" xfId="0" applyBorder="1" applyAlignment="1">
      <alignment horizontal="center"/>
    </xf>
    <xf numFmtId="0" fontId="0" fillId="0" borderId="7"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cellXfs>
  <cellStyles count="3">
    <cellStyle name="Comma" xfId="2" builtinId="3"/>
    <cellStyle name="Normal" xfId="0" builtinId="0"/>
    <cellStyle name="Normal 2" xfId="1" xr:uid="{8F244D06-BD3C-40D0-B90F-ECDAE62E55DF}"/>
  </cellStyles>
  <dxfs count="2">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750F4-662D-4BE1-A43A-DB66FF17EF6E}">
  <dimension ref="A1:AS42"/>
  <sheetViews>
    <sheetView tabSelected="1" view="pageBreakPreview" topLeftCell="A25" zoomScale="85" zoomScaleNormal="100" zoomScaleSheetLayoutView="85" workbookViewId="0">
      <selection activeCell="G5" sqref="G5"/>
    </sheetView>
  </sheetViews>
  <sheetFormatPr defaultRowHeight="14.5" x14ac:dyDescent="0.35"/>
  <cols>
    <col min="2" max="2" width="17.81640625" customWidth="1"/>
    <col min="3" max="3" width="54.6328125" customWidth="1"/>
    <col min="4" max="4" width="6.1796875" customWidth="1"/>
    <col min="6" max="8" width="9.81640625" style="70" customWidth="1"/>
    <col min="9" max="9" width="16.90625" style="70" bestFit="1" customWidth="1"/>
    <col min="10" max="10" width="18.26953125" style="70" customWidth="1"/>
    <col min="11" max="11" width="18" style="62" customWidth="1"/>
  </cols>
  <sheetData>
    <row r="1" spans="1:11" ht="34" customHeight="1" thickBot="1" x14ac:dyDescent="0.4">
      <c r="A1" s="77" t="s">
        <v>51</v>
      </c>
      <c r="B1" s="78"/>
      <c r="C1" s="78"/>
      <c r="D1" s="78"/>
      <c r="E1" s="78"/>
      <c r="F1" s="78"/>
      <c r="G1" s="78"/>
      <c r="H1" s="78"/>
      <c r="I1" s="78"/>
      <c r="J1" s="78"/>
      <c r="K1" s="78"/>
    </row>
    <row r="2" spans="1:11" ht="27.5" customHeight="1" thickBot="1" x14ac:dyDescent="0.4">
      <c r="A2" s="37" t="s">
        <v>0</v>
      </c>
      <c r="B2" s="37" t="s">
        <v>18</v>
      </c>
      <c r="C2" s="37" t="s">
        <v>1</v>
      </c>
      <c r="D2" s="37" t="s">
        <v>2</v>
      </c>
      <c r="E2" s="37" t="s">
        <v>43</v>
      </c>
      <c r="F2" s="63" t="s">
        <v>3</v>
      </c>
      <c r="G2" s="63" t="s">
        <v>3</v>
      </c>
      <c r="H2" s="63"/>
      <c r="I2" s="63"/>
      <c r="J2" s="63"/>
      <c r="K2" s="56" t="s">
        <v>4</v>
      </c>
    </row>
    <row r="3" spans="1:11" ht="18" customHeight="1" thickBot="1" x14ac:dyDescent="0.4">
      <c r="A3" s="36"/>
      <c r="B3" s="42"/>
      <c r="C3" s="43"/>
      <c r="D3" s="36"/>
      <c r="E3" s="36"/>
      <c r="F3" s="64"/>
      <c r="G3" s="64"/>
      <c r="H3" s="64"/>
      <c r="I3" s="64"/>
      <c r="J3" s="64"/>
      <c r="K3" s="57"/>
    </row>
    <row r="4" spans="1:11" ht="31.5" customHeight="1" thickBot="1" x14ac:dyDescent="0.4">
      <c r="A4" s="40"/>
      <c r="B4" s="79" t="s">
        <v>24</v>
      </c>
      <c r="C4" s="80"/>
      <c r="D4" s="41"/>
      <c r="E4" s="27"/>
      <c r="F4" s="65"/>
      <c r="G4" s="65"/>
      <c r="H4" s="65"/>
      <c r="I4" s="65"/>
      <c r="J4" s="65"/>
      <c r="K4" s="58"/>
    </row>
    <row r="5" spans="1:11" ht="59.5" customHeight="1" x14ac:dyDescent="0.35">
      <c r="A5" s="28">
        <v>1</v>
      </c>
      <c r="B5" s="44" t="s">
        <v>10</v>
      </c>
      <c r="C5" s="45" t="s">
        <v>5</v>
      </c>
      <c r="D5" s="29" t="s">
        <v>35</v>
      </c>
      <c r="E5" s="28">
        <v>2127</v>
      </c>
      <c r="F5" s="66">
        <v>1380</v>
      </c>
      <c r="G5" s="74">
        <v>1165</v>
      </c>
      <c r="H5" s="74">
        <v>1050</v>
      </c>
      <c r="I5" s="76">
        <f>H5*E5</f>
        <v>2233350</v>
      </c>
      <c r="J5" s="66">
        <f>G5*E5</f>
        <v>2477955</v>
      </c>
      <c r="K5" s="59">
        <f>+E5*F5</f>
        <v>2935260</v>
      </c>
    </row>
    <row r="6" spans="1:11" ht="36.5" customHeight="1" x14ac:dyDescent="0.35">
      <c r="A6" s="30">
        <v>2</v>
      </c>
      <c r="B6" s="3" t="s">
        <v>13</v>
      </c>
      <c r="C6" s="72" t="s">
        <v>7</v>
      </c>
      <c r="D6" s="29" t="s">
        <v>35</v>
      </c>
      <c r="E6" s="28">
        <v>2127</v>
      </c>
      <c r="F6" s="66"/>
      <c r="G6" s="66"/>
      <c r="H6" s="66"/>
      <c r="I6" s="66"/>
      <c r="J6" s="66"/>
      <c r="K6" s="59"/>
    </row>
    <row r="7" spans="1:11" ht="36.5" customHeight="1" x14ac:dyDescent="0.35">
      <c r="A7" s="30">
        <v>3</v>
      </c>
      <c r="B7" s="3" t="s">
        <v>14</v>
      </c>
      <c r="C7" s="31" t="s">
        <v>8</v>
      </c>
      <c r="D7" s="14" t="s">
        <v>34</v>
      </c>
      <c r="E7" s="28">
        <v>1654</v>
      </c>
      <c r="F7" s="66"/>
      <c r="G7" s="66"/>
      <c r="H7" s="66"/>
      <c r="I7" s="66"/>
      <c r="J7" s="66"/>
      <c r="K7" s="59"/>
    </row>
    <row r="8" spans="1:11" ht="93" x14ac:dyDescent="0.35">
      <c r="A8" s="28">
        <v>4</v>
      </c>
      <c r="B8" s="3" t="s">
        <v>11</v>
      </c>
      <c r="C8" s="4" t="s">
        <v>9</v>
      </c>
      <c r="D8" s="29" t="s">
        <v>35</v>
      </c>
      <c r="E8" s="28">
        <v>1154</v>
      </c>
      <c r="F8" s="66">
        <v>1176</v>
      </c>
      <c r="G8" s="74">
        <v>1165</v>
      </c>
      <c r="H8" s="66">
        <v>1100</v>
      </c>
      <c r="I8" s="76">
        <f>H8*E8</f>
        <v>1269400</v>
      </c>
      <c r="J8" s="66">
        <f>G8*E8</f>
        <v>1344410</v>
      </c>
      <c r="K8" s="59">
        <f t="shared" ref="K8:K16" si="0">+E8*F8</f>
        <v>1357104</v>
      </c>
    </row>
    <row r="9" spans="1:11" ht="83.5" customHeight="1" x14ac:dyDescent="0.35">
      <c r="A9" s="32">
        <v>5</v>
      </c>
      <c r="B9" s="3" t="s">
        <v>12</v>
      </c>
      <c r="C9" s="13" t="s">
        <v>15</v>
      </c>
      <c r="D9" s="29" t="s">
        <v>35</v>
      </c>
      <c r="E9" s="28">
        <v>2412</v>
      </c>
      <c r="F9" s="66">
        <v>1176</v>
      </c>
      <c r="G9" s="66">
        <v>1200</v>
      </c>
      <c r="H9" s="66">
        <v>1150</v>
      </c>
      <c r="I9" s="76">
        <f>H9*E9</f>
        <v>2773800</v>
      </c>
      <c r="J9" s="66">
        <f>G9*E9</f>
        <v>2894400</v>
      </c>
      <c r="K9" s="59">
        <f t="shared" si="0"/>
        <v>2836512</v>
      </c>
    </row>
    <row r="10" spans="1:11" ht="31" x14ac:dyDescent="0.35">
      <c r="A10" s="32">
        <v>6</v>
      </c>
      <c r="B10" s="3" t="s">
        <v>17</v>
      </c>
      <c r="C10" s="4" t="s">
        <v>16</v>
      </c>
      <c r="D10" s="29" t="s">
        <v>35</v>
      </c>
      <c r="E10" s="28">
        <v>1049</v>
      </c>
      <c r="F10" s="66">
        <v>1176</v>
      </c>
      <c r="G10" s="66">
        <v>1200</v>
      </c>
      <c r="H10" s="66">
        <v>1100</v>
      </c>
      <c r="I10" s="76">
        <f>H10*E10</f>
        <v>1153900</v>
      </c>
      <c r="J10" s="66">
        <f t="shared" ref="J10:J16" si="1">G10*E10</f>
        <v>1258800</v>
      </c>
      <c r="K10" s="59">
        <f t="shared" si="0"/>
        <v>1233624</v>
      </c>
    </row>
    <row r="11" spans="1:11" ht="62" x14ac:dyDescent="0.35">
      <c r="A11" s="32">
        <v>7</v>
      </c>
      <c r="B11" s="3" t="s">
        <v>12</v>
      </c>
      <c r="C11" s="5" t="s">
        <v>19</v>
      </c>
      <c r="D11" s="29" t="s">
        <v>34</v>
      </c>
      <c r="E11" s="28">
        <v>839</v>
      </c>
      <c r="F11" s="66">
        <v>151</v>
      </c>
      <c r="G11" s="66">
        <v>151</v>
      </c>
      <c r="H11" s="66">
        <v>1150</v>
      </c>
      <c r="I11" s="76">
        <f>H11*E11</f>
        <v>964850</v>
      </c>
      <c r="J11" s="66">
        <f t="shared" si="1"/>
        <v>126689</v>
      </c>
      <c r="K11" s="59">
        <f t="shared" si="0"/>
        <v>126689</v>
      </c>
    </row>
    <row r="12" spans="1:11" ht="97.5" customHeight="1" x14ac:dyDescent="0.35">
      <c r="A12" s="32">
        <v>8</v>
      </c>
      <c r="B12" s="3" t="s">
        <v>10</v>
      </c>
      <c r="C12" s="6" t="s">
        <v>20</v>
      </c>
      <c r="D12" s="29" t="s">
        <v>35</v>
      </c>
      <c r="E12" s="28">
        <v>237</v>
      </c>
      <c r="F12" s="66">
        <v>3961</v>
      </c>
      <c r="G12" s="66">
        <v>3228</v>
      </c>
      <c r="H12" s="66">
        <v>3228</v>
      </c>
      <c r="I12" s="76">
        <f>H12*E12</f>
        <v>765036</v>
      </c>
      <c r="J12" s="66">
        <f t="shared" si="1"/>
        <v>765036</v>
      </c>
      <c r="K12" s="59">
        <f t="shared" si="0"/>
        <v>938757</v>
      </c>
    </row>
    <row r="13" spans="1:11" ht="53" customHeight="1" x14ac:dyDescent="0.35">
      <c r="A13" s="32"/>
      <c r="B13" s="3"/>
      <c r="C13" s="6"/>
      <c r="D13" s="29" t="s">
        <v>34</v>
      </c>
      <c r="E13" s="28">
        <v>237</v>
      </c>
      <c r="F13" s="66">
        <v>1850</v>
      </c>
      <c r="G13" s="66">
        <v>1850</v>
      </c>
      <c r="H13" s="66"/>
      <c r="I13" s="66"/>
      <c r="J13" s="66">
        <f t="shared" si="1"/>
        <v>438450</v>
      </c>
      <c r="K13" s="59">
        <f t="shared" si="0"/>
        <v>438450</v>
      </c>
    </row>
    <row r="14" spans="1:11" ht="77.5" x14ac:dyDescent="0.35">
      <c r="A14" s="32">
        <v>9</v>
      </c>
      <c r="B14" s="7" t="s">
        <v>40</v>
      </c>
      <c r="C14" s="9" t="s">
        <v>21</v>
      </c>
      <c r="D14" s="29" t="s">
        <v>34</v>
      </c>
      <c r="E14" s="28">
        <v>189</v>
      </c>
      <c r="F14" s="66">
        <v>1037</v>
      </c>
      <c r="G14" s="66">
        <v>1037</v>
      </c>
      <c r="H14" s="66">
        <v>1037</v>
      </c>
      <c r="I14" s="76">
        <f>H14*E14</f>
        <v>195993</v>
      </c>
      <c r="J14" s="66">
        <f t="shared" si="1"/>
        <v>195993</v>
      </c>
      <c r="K14" s="59">
        <f t="shared" si="0"/>
        <v>195993</v>
      </c>
    </row>
    <row r="15" spans="1:11" ht="62" x14ac:dyDescent="0.35">
      <c r="A15" s="32">
        <v>10</v>
      </c>
      <c r="B15" s="7" t="s">
        <v>41</v>
      </c>
      <c r="C15" s="5" t="s">
        <v>22</v>
      </c>
      <c r="D15" s="29" t="s">
        <v>34</v>
      </c>
      <c r="E15" s="28">
        <v>105</v>
      </c>
      <c r="F15" s="66">
        <v>1037</v>
      </c>
      <c r="G15" s="66">
        <v>1037</v>
      </c>
      <c r="H15" s="66">
        <v>1037</v>
      </c>
      <c r="I15" s="76">
        <f>H15*E15</f>
        <v>108885</v>
      </c>
      <c r="J15" s="66">
        <f t="shared" si="1"/>
        <v>108885</v>
      </c>
      <c r="K15" s="59">
        <f t="shared" si="0"/>
        <v>108885</v>
      </c>
    </row>
    <row r="16" spans="1:11" ht="77.5" x14ac:dyDescent="0.35">
      <c r="A16" s="32">
        <v>11</v>
      </c>
      <c r="B16" s="3" t="s">
        <v>42</v>
      </c>
      <c r="C16" s="6" t="s">
        <v>23</v>
      </c>
      <c r="D16" s="29" t="s">
        <v>34</v>
      </c>
      <c r="E16" s="28">
        <v>95</v>
      </c>
      <c r="F16" s="66">
        <v>1037</v>
      </c>
      <c r="G16" s="66">
        <v>1037</v>
      </c>
      <c r="H16" s="66">
        <v>1037</v>
      </c>
      <c r="I16" s="76">
        <f>H16*E16</f>
        <v>98515</v>
      </c>
      <c r="J16" s="66">
        <f t="shared" si="1"/>
        <v>98515</v>
      </c>
      <c r="K16" s="59">
        <f t="shared" si="0"/>
        <v>98515</v>
      </c>
    </row>
    <row r="17" spans="1:45" x14ac:dyDescent="0.35">
      <c r="A17" s="27"/>
      <c r="B17" s="27"/>
      <c r="C17" s="27"/>
      <c r="D17" s="39"/>
      <c r="E17" s="27"/>
      <c r="F17" s="65"/>
      <c r="G17" s="68"/>
      <c r="H17" s="68"/>
      <c r="I17" s="68"/>
      <c r="J17" s="65"/>
      <c r="K17" s="58"/>
    </row>
    <row r="18" spans="1:45" ht="31" customHeight="1" x14ac:dyDescent="0.35">
      <c r="A18" s="27"/>
      <c r="B18" s="81" t="s">
        <v>44</v>
      </c>
      <c r="C18" s="81"/>
      <c r="D18" s="39"/>
      <c r="E18" s="27"/>
      <c r="F18" s="65"/>
      <c r="G18" s="68"/>
      <c r="H18" s="68"/>
      <c r="I18" s="68"/>
      <c r="J18" s="65"/>
      <c r="K18" s="58"/>
    </row>
    <row r="19" spans="1:45" ht="80.5" customHeight="1" x14ac:dyDescent="0.35">
      <c r="A19" s="32">
        <v>1</v>
      </c>
      <c r="B19" s="2" t="s">
        <v>26</v>
      </c>
      <c r="C19" s="1" t="s">
        <v>53</v>
      </c>
      <c r="D19" s="29" t="s">
        <v>35</v>
      </c>
      <c r="E19" s="28">
        <v>2363</v>
      </c>
      <c r="F19" s="66">
        <v>1886</v>
      </c>
      <c r="G19" s="66">
        <v>1250</v>
      </c>
      <c r="H19" s="66">
        <v>1250</v>
      </c>
      <c r="I19" s="76">
        <f t="shared" ref="I19:I25" si="2">H19*E19</f>
        <v>2953750</v>
      </c>
      <c r="J19" s="66">
        <f t="shared" ref="J19:J25" si="3">G19*E19</f>
        <v>2953750</v>
      </c>
      <c r="K19" s="59">
        <f t="shared" ref="K19:K25" si="4">+E19*F19</f>
        <v>4456618</v>
      </c>
    </row>
    <row r="20" spans="1:45" ht="31" x14ac:dyDescent="0.35">
      <c r="A20" s="32">
        <v>2</v>
      </c>
      <c r="B20" s="2" t="s">
        <v>27</v>
      </c>
      <c r="C20" s="10" t="s">
        <v>25</v>
      </c>
      <c r="D20" s="29" t="s">
        <v>35</v>
      </c>
      <c r="E20" s="28">
        <v>586</v>
      </c>
      <c r="F20" s="66">
        <v>1950</v>
      </c>
      <c r="G20" s="66">
        <v>1450</v>
      </c>
      <c r="H20" s="66">
        <v>1450</v>
      </c>
      <c r="I20" s="76">
        <f t="shared" si="2"/>
        <v>849700</v>
      </c>
      <c r="J20" s="66">
        <f t="shared" si="3"/>
        <v>849700</v>
      </c>
      <c r="K20" s="59">
        <f t="shared" si="4"/>
        <v>1142700</v>
      </c>
    </row>
    <row r="21" spans="1:45" ht="31" x14ac:dyDescent="0.35">
      <c r="A21" s="32">
        <v>3</v>
      </c>
      <c r="B21" s="2" t="s">
        <v>29</v>
      </c>
      <c r="C21" s="10" t="s">
        <v>28</v>
      </c>
      <c r="D21" s="29" t="s">
        <v>35</v>
      </c>
      <c r="E21" s="28">
        <v>449</v>
      </c>
      <c r="F21" s="66">
        <v>1750</v>
      </c>
      <c r="G21" s="66">
        <v>1250</v>
      </c>
      <c r="H21" s="66">
        <v>1250</v>
      </c>
      <c r="I21" s="76">
        <f t="shared" si="2"/>
        <v>561250</v>
      </c>
      <c r="J21" s="66">
        <f t="shared" si="3"/>
        <v>561250</v>
      </c>
      <c r="K21" s="59">
        <f t="shared" si="4"/>
        <v>785750</v>
      </c>
    </row>
    <row r="22" spans="1:45" ht="93" x14ac:dyDescent="0.35">
      <c r="A22" s="32">
        <v>4</v>
      </c>
      <c r="B22" s="2" t="s">
        <v>30</v>
      </c>
      <c r="C22" s="11" t="s">
        <v>31</v>
      </c>
      <c r="D22" s="29" t="s">
        <v>35</v>
      </c>
      <c r="E22" s="28">
        <v>2835</v>
      </c>
      <c r="F22" s="66">
        <v>450</v>
      </c>
      <c r="G22" s="66">
        <v>387</v>
      </c>
      <c r="H22" s="66">
        <v>387</v>
      </c>
      <c r="I22" s="76">
        <f t="shared" si="2"/>
        <v>1097145</v>
      </c>
      <c r="J22" s="66">
        <f t="shared" si="3"/>
        <v>1097145</v>
      </c>
      <c r="K22" s="59">
        <f t="shared" si="4"/>
        <v>1275750</v>
      </c>
    </row>
    <row r="23" spans="1:45" ht="93" x14ac:dyDescent="0.35">
      <c r="A23" s="32">
        <v>5</v>
      </c>
      <c r="B23" s="2" t="s">
        <v>32</v>
      </c>
      <c r="C23" s="11" t="s">
        <v>33</v>
      </c>
      <c r="D23" s="29" t="s">
        <v>35</v>
      </c>
      <c r="E23" s="28">
        <v>3308</v>
      </c>
      <c r="F23" s="66">
        <v>450</v>
      </c>
      <c r="G23" s="66">
        <v>387</v>
      </c>
      <c r="H23" s="66">
        <v>387</v>
      </c>
      <c r="I23" s="76">
        <f t="shared" si="2"/>
        <v>1280196</v>
      </c>
      <c r="J23" s="66">
        <f t="shared" si="3"/>
        <v>1280196</v>
      </c>
      <c r="K23" s="59">
        <f t="shared" si="4"/>
        <v>1488600</v>
      </c>
    </row>
    <row r="24" spans="1:45" ht="232.5" x14ac:dyDescent="0.35">
      <c r="A24" s="32">
        <v>6</v>
      </c>
      <c r="B24" s="12" t="s">
        <v>38</v>
      </c>
      <c r="C24" s="71" t="s">
        <v>36</v>
      </c>
      <c r="D24" s="29" t="s">
        <v>35</v>
      </c>
      <c r="E24" s="28">
        <v>5906</v>
      </c>
      <c r="F24" s="66">
        <v>450</v>
      </c>
      <c r="G24" s="66">
        <v>405</v>
      </c>
      <c r="H24" s="66">
        <v>405</v>
      </c>
      <c r="I24" s="76">
        <f t="shared" si="2"/>
        <v>2391930</v>
      </c>
      <c r="J24" s="66">
        <f t="shared" si="3"/>
        <v>2391930</v>
      </c>
      <c r="K24" s="59">
        <f t="shared" si="4"/>
        <v>2657700</v>
      </c>
    </row>
    <row r="25" spans="1:45" ht="46.5" x14ac:dyDescent="0.35">
      <c r="A25" s="32">
        <v>7</v>
      </c>
      <c r="B25" s="12" t="s">
        <v>39</v>
      </c>
      <c r="C25" s="8" t="s">
        <v>37</v>
      </c>
      <c r="D25" s="29" t="s">
        <v>35</v>
      </c>
      <c r="E25" s="28">
        <v>473</v>
      </c>
      <c r="F25" s="66">
        <v>750</v>
      </c>
      <c r="G25" s="66">
        <v>450</v>
      </c>
      <c r="H25" s="66">
        <v>450</v>
      </c>
      <c r="I25" s="76">
        <f t="shared" si="2"/>
        <v>212850</v>
      </c>
      <c r="J25" s="66">
        <f t="shared" si="3"/>
        <v>212850</v>
      </c>
      <c r="K25" s="59">
        <f t="shared" si="4"/>
        <v>354750</v>
      </c>
    </row>
    <row r="26" spans="1:45" ht="15.5" x14ac:dyDescent="0.35">
      <c r="A26" s="32"/>
      <c r="B26" s="2"/>
      <c r="C26" s="8"/>
      <c r="D26" s="29"/>
      <c r="E26" s="28"/>
      <c r="F26" s="66"/>
      <c r="G26" s="66"/>
      <c r="H26" s="66"/>
      <c r="I26" s="66"/>
      <c r="J26" s="66"/>
      <c r="K26" s="59"/>
    </row>
    <row r="27" spans="1:45" ht="15.5" x14ac:dyDescent="0.35">
      <c r="A27" s="32"/>
      <c r="B27" s="2"/>
      <c r="C27" s="8"/>
      <c r="D27" s="29"/>
      <c r="E27" s="28"/>
      <c r="F27" s="66"/>
      <c r="G27" s="66"/>
      <c r="H27" s="66"/>
      <c r="I27" s="66"/>
      <c r="J27" s="66"/>
      <c r="K27" s="59"/>
    </row>
    <row r="28" spans="1:45" ht="16" thickBot="1" x14ac:dyDescent="0.4">
      <c r="A28" s="54"/>
      <c r="B28" s="46"/>
      <c r="C28" s="47"/>
      <c r="D28" s="48"/>
      <c r="E28" s="49"/>
      <c r="F28" s="67"/>
      <c r="G28" s="67"/>
      <c r="H28" s="67"/>
      <c r="I28" s="67"/>
      <c r="J28" s="67"/>
      <c r="K28" s="60"/>
    </row>
    <row r="29" spans="1:45" ht="31" customHeight="1" thickBot="1" x14ac:dyDescent="0.4">
      <c r="A29" s="83" t="s">
        <v>45</v>
      </c>
      <c r="B29" s="84"/>
      <c r="C29" s="84"/>
      <c r="D29" s="84"/>
      <c r="E29" s="84"/>
      <c r="F29" s="84"/>
      <c r="G29" s="84"/>
      <c r="H29" s="84"/>
      <c r="I29" s="84"/>
      <c r="J29" s="84"/>
      <c r="K29" s="84"/>
    </row>
    <row r="30" spans="1:45" ht="29" customHeight="1" x14ac:dyDescent="0.35">
      <c r="A30" s="55">
        <v>1</v>
      </c>
      <c r="B30" s="50" t="s">
        <v>49</v>
      </c>
      <c r="C30" s="51" t="s">
        <v>46</v>
      </c>
      <c r="D30" s="52" t="s">
        <v>35</v>
      </c>
      <c r="E30" s="53">
        <v>340</v>
      </c>
      <c r="F30" s="66">
        <v>1175</v>
      </c>
      <c r="G30" s="74">
        <v>1175</v>
      </c>
      <c r="H30" s="74">
        <v>1100</v>
      </c>
      <c r="I30" s="76">
        <f>H30*E30</f>
        <v>374000</v>
      </c>
      <c r="J30" s="66">
        <f t="shared" ref="J30:J32" si="5">G30*E30</f>
        <v>399500</v>
      </c>
      <c r="K30" s="59">
        <f>+E30*F30</f>
        <v>399500</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25">
        <v>340</v>
      </c>
      <c r="AS30" s="26" t="s">
        <v>6</v>
      </c>
    </row>
    <row r="31" spans="1:45" ht="29" customHeight="1" thickBot="1" x14ac:dyDescent="0.4">
      <c r="A31" s="32">
        <v>2</v>
      </c>
      <c r="B31" s="38" t="s">
        <v>50</v>
      </c>
      <c r="C31" s="33" t="s">
        <v>47</v>
      </c>
      <c r="D31" s="29" t="s">
        <v>35</v>
      </c>
      <c r="E31" s="34">
        <v>500</v>
      </c>
      <c r="F31" s="66">
        <v>550</v>
      </c>
      <c r="G31" s="75">
        <v>450</v>
      </c>
      <c r="H31" s="75">
        <v>387</v>
      </c>
      <c r="I31" s="76">
        <f>H31*E31</f>
        <v>193500</v>
      </c>
      <c r="J31" s="66">
        <f t="shared" si="5"/>
        <v>225000</v>
      </c>
      <c r="K31" s="59">
        <f>+E31*F31</f>
        <v>275000</v>
      </c>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20"/>
      <c r="AP31" s="15"/>
      <c r="AQ31" s="16"/>
      <c r="AR31" s="17">
        <v>500</v>
      </c>
      <c r="AS31" s="18" t="s">
        <v>6</v>
      </c>
    </row>
    <row r="32" spans="1:45" ht="29" customHeight="1" thickBot="1" x14ac:dyDescent="0.4">
      <c r="A32" s="32">
        <v>3</v>
      </c>
      <c r="B32" s="38" t="s">
        <v>48</v>
      </c>
      <c r="C32" s="33" t="s">
        <v>48</v>
      </c>
      <c r="D32" s="29" t="s">
        <v>35</v>
      </c>
      <c r="E32" s="34">
        <v>340</v>
      </c>
      <c r="F32" s="66">
        <v>550</v>
      </c>
      <c r="G32" s="75">
        <v>450</v>
      </c>
      <c r="H32" s="75">
        <v>287</v>
      </c>
      <c r="I32" s="76">
        <f>H32*E32</f>
        <v>97580</v>
      </c>
      <c r="J32" s="66">
        <f t="shared" si="5"/>
        <v>153000</v>
      </c>
      <c r="K32" s="59">
        <f>+E32*F32</f>
        <v>187000</v>
      </c>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20"/>
      <c r="AP32" s="21"/>
      <c r="AQ32" s="22"/>
      <c r="AR32" s="23">
        <v>340</v>
      </c>
      <c r="AS32" s="24" t="s">
        <v>6</v>
      </c>
    </row>
    <row r="33" spans="1:11" ht="22.5" customHeight="1" x14ac:dyDescent="0.35">
      <c r="A33" s="27"/>
      <c r="B33" s="35"/>
      <c r="C33" s="35"/>
      <c r="D33" s="35"/>
      <c r="E33" s="35"/>
      <c r="F33" s="68"/>
      <c r="G33" s="68"/>
      <c r="H33" s="68"/>
      <c r="I33" s="68"/>
      <c r="J33" s="68"/>
      <c r="K33" s="59">
        <f>+E33*F33</f>
        <v>0</v>
      </c>
    </row>
    <row r="34" spans="1:11" ht="32" customHeight="1" x14ac:dyDescent="0.35">
      <c r="D34" s="82" t="s">
        <v>52</v>
      </c>
      <c r="E34" s="82"/>
      <c r="F34" s="69"/>
      <c r="G34" s="69"/>
      <c r="H34" s="69"/>
      <c r="I34" s="61">
        <f>SUM(I5:I33)</f>
        <v>19575630</v>
      </c>
      <c r="J34" s="61">
        <f>SUM(J5:J33)</f>
        <v>19833454</v>
      </c>
      <c r="K34" s="61">
        <f>SUM(K5:K33)</f>
        <v>23293157</v>
      </c>
    </row>
    <row r="35" spans="1:11" ht="27" customHeight="1" x14ac:dyDescent="0.35"/>
    <row r="36" spans="1:11" ht="30" customHeight="1" x14ac:dyDescent="0.35"/>
    <row r="37" spans="1:11" ht="24" customHeight="1" x14ac:dyDescent="0.35">
      <c r="A37" s="27"/>
      <c r="B37" s="27"/>
      <c r="C37" s="73" t="s">
        <v>54</v>
      </c>
      <c r="D37" s="87" t="s">
        <v>55</v>
      </c>
      <c r="E37" s="88"/>
      <c r="F37" s="65"/>
      <c r="G37" s="65"/>
      <c r="H37" s="65"/>
      <c r="I37" s="65"/>
      <c r="J37" s="65"/>
      <c r="K37" s="58"/>
    </row>
    <row r="38" spans="1:11" ht="24.5" customHeight="1" x14ac:dyDescent="0.35">
      <c r="A38" s="27"/>
      <c r="B38" s="27"/>
      <c r="C38" s="73" t="s">
        <v>59</v>
      </c>
      <c r="D38" s="89" t="s">
        <v>55</v>
      </c>
      <c r="E38" s="89"/>
      <c r="F38" s="65"/>
      <c r="G38" s="65"/>
      <c r="H38" s="65"/>
      <c r="I38" s="65"/>
      <c r="J38" s="65"/>
      <c r="K38" s="58"/>
    </row>
    <row r="39" spans="1:11" ht="23.5" customHeight="1" x14ac:dyDescent="0.35">
      <c r="A39" s="27"/>
      <c r="B39" s="27"/>
      <c r="C39" s="73" t="s">
        <v>56</v>
      </c>
      <c r="D39" s="89" t="s">
        <v>55</v>
      </c>
      <c r="E39" s="89"/>
      <c r="F39" s="65"/>
      <c r="G39" s="65"/>
      <c r="H39" s="65"/>
      <c r="I39" s="65"/>
      <c r="J39" s="65"/>
      <c r="K39" s="58"/>
    </row>
    <row r="40" spans="1:11" ht="27.5" customHeight="1" x14ac:dyDescent="0.35">
      <c r="A40" s="27"/>
      <c r="B40" s="27"/>
      <c r="C40" s="73" t="s">
        <v>57</v>
      </c>
      <c r="D40" s="89" t="s">
        <v>58</v>
      </c>
      <c r="E40" s="89"/>
      <c r="F40" s="65"/>
      <c r="G40" s="65"/>
      <c r="H40" s="65"/>
      <c r="I40" s="65"/>
      <c r="J40" s="65"/>
      <c r="K40" s="58"/>
    </row>
    <row r="41" spans="1:11" ht="25" customHeight="1" x14ac:dyDescent="0.35">
      <c r="A41" s="27"/>
      <c r="B41" s="27"/>
      <c r="C41" s="73" t="s">
        <v>56</v>
      </c>
      <c r="D41" s="89" t="s">
        <v>55</v>
      </c>
      <c r="E41" s="89"/>
      <c r="F41" s="65"/>
      <c r="G41" s="65"/>
      <c r="H41" s="65"/>
      <c r="I41" s="65"/>
      <c r="J41" s="65"/>
      <c r="K41" s="58"/>
    </row>
    <row r="42" spans="1:11" ht="28.5" customHeight="1" x14ac:dyDescent="0.35">
      <c r="A42" s="27"/>
      <c r="B42" s="27"/>
      <c r="C42" s="27"/>
      <c r="D42" s="85"/>
      <c r="E42" s="86"/>
      <c r="F42" s="65"/>
      <c r="G42" s="65"/>
      <c r="H42" s="65"/>
      <c r="I42" s="65"/>
      <c r="J42" s="65"/>
      <c r="K42" s="58"/>
    </row>
  </sheetData>
  <mergeCells count="11">
    <mergeCell ref="D42:E42"/>
    <mergeCell ref="D37:E37"/>
    <mergeCell ref="D38:E38"/>
    <mergeCell ref="D39:E39"/>
    <mergeCell ref="D40:E40"/>
    <mergeCell ref="D41:E41"/>
    <mergeCell ref="A1:K1"/>
    <mergeCell ref="B4:C4"/>
    <mergeCell ref="B18:C18"/>
    <mergeCell ref="D34:E34"/>
    <mergeCell ref="A29:K29"/>
  </mergeCells>
  <conditionalFormatting sqref="B5:B16">
    <cfRule type="notContainsBlanks" dxfId="1" priority="3">
      <formula>LEN(TRIM(B5))&gt;0</formula>
    </cfRule>
  </conditionalFormatting>
  <conditionalFormatting sqref="B19:B23">
    <cfRule type="notContainsBlanks" dxfId="0" priority="1">
      <formula>LEN(TRIM(B19))&gt;0</formula>
    </cfRule>
  </conditionalFormatting>
  <pageMargins left="0.7" right="0.7" top="0.75" bottom="0.75" header="0.3" footer="0.3"/>
  <pageSetup scale="48" orientation="portrait" r:id="rId1"/>
  <rowBreaks count="1" manualBreakCount="1">
    <brk id="17" max="8" man="1"/>
  </rowBreaks>
  <colBreaks count="1" manualBreakCount="1">
    <brk id="11" max="4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Wet Works  (2)</vt:lpstr>
      <vt:lpstr>'Wet Works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MOHAMMED ALI</cp:lastModifiedBy>
  <cp:lastPrinted>2026-09-01T07:01:15Z</cp:lastPrinted>
  <dcterms:created xsi:type="dcterms:W3CDTF">2015-06-05T18:17:20Z</dcterms:created>
  <dcterms:modified xsi:type="dcterms:W3CDTF">2026-10-14T05:29:54Z</dcterms:modified>
</cp:coreProperties>
</file>